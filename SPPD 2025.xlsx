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drawings/drawing3.xml" ContentType="application/vnd.openxmlformats-officedocument.drawing+xml"/>
  <Override PartName="/xl/ctrlProps/ctrlProp2.xml" ContentType="application/vnd.ms-excel.controlproperties+xml"/>
  <Override PartName="/xl/drawings/drawing4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9F0873E-4148-4163-A835-4843B3BDFCE4}" xr6:coauthVersionLast="47" xr6:coauthVersionMax="47" xr10:uidLastSave="{00000000-0000-0000-0000-000000000000}"/>
  <bookViews>
    <workbookView xWindow="-110" yWindow="-110" windowWidth="19420" windowHeight="11500" activeTab="1" xr2:uid="{9C9CE10F-824B-4F43-9A51-0FDC6B6F52AC}"/>
  </bookViews>
  <sheets>
    <sheet name="DATA" sheetId="3" r:id="rId1"/>
    <sheet name="1" sheetId="1" r:id="rId2"/>
    <sheet name="2" sheetId="5" r:id="rId3"/>
    <sheet name="ST" sheetId="8" r:id="rId4"/>
  </sheets>
  <definedNames>
    <definedName name="_xlnm.Print_Area" localSheetId="1">'1'!$A$1:$F$47</definedName>
    <definedName name="_xlnm.Print_Area" localSheetId="2">'2'!$A$1:$F$29</definedName>
    <definedName name="_xlnm.Print_Area" localSheetId="3">ST!$A$1:$F$30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" i="3" l="1"/>
  <c r="F10" i="5"/>
  <c r="C1" i="1"/>
  <c r="F12" i="1"/>
  <c r="F42" i="1"/>
  <c r="A8" i="1"/>
  <c r="F21" i="1"/>
  <c r="F10" i="1"/>
  <c r="F17" i="1"/>
  <c r="F15" i="1"/>
  <c r="D13" i="8"/>
  <c r="F30" i="8"/>
  <c r="F24" i="8"/>
  <c r="C4" i="1"/>
  <c r="F24" i="1"/>
  <c r="F13" i="1"/>
  <c r="A17" i="8"/>
  <c r="N62" i="3"/>
  <c r="M62" i="3"/>
  <c r="N61" i="3"/>
  <c r="M61" i="3"/>
  <c r="N60" i="3"/>
  <c r="M6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0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0" i="3"/>
  <c r="F29" i="8"/>
  <c r="D15" i="8" l="1"/>
  <c r="D16" i="8"/>
  <c r="D14" i="8"/>
  <c r="A24" i="5"/>
  <c r="D15" i="5"/>
  <c r="A25" i="5"/>
  <c r="D16" i="5"/>
  <c r="D13" i="5"/>
  <c r="F9" i="5"/>
  <c r="F11" i="5"/>
  <c r="C21" i="5"/>
  <c r="C20" i="5"/>
  <c r="F18" i="5"/>
  <c r="C18" i="5"/>
  <c r="F17" i="5"/>
  <c r="C17" i="5"/>
  <c r="F23" i="1" l="1"/>
  <c r="F22" i="1"/>
  <c r="F19" i="1"/>
  <c r="F18" i="1"/>
  <c r="F14" i="1" l="1"/>
  <c r="C5" i="1"/>
  <c r="C2" i="1"/>
  <c r="A8" i="8"/>
</calcChain>
</file>

<file path=xl/sharedStrings.xml><?xml version="1.0" encoding="utf-8"?>
<sst xmlns="http://schemas.openxmlformats.org/spreadsheetml/2006/main" count="272" uniqueCount="157">
  <si>
    <t>:</t>
  </si>
  <si>
    <t>NIP</t>
  </si>
  <si>
    <t>No</t>
  </si>
  <si>
    <t>SURAT PERINTAH PERJALANAN DINAS</t>
  </si>
  <si>
    <t>Pejabat yang memberi perintah</t>
  </si>
  <si>
    <t>Nama Pegawai yang diperintahkan</t>
  </si>
  <si>
    <t>Perjalanan Dinas yang diperintahkan</t>
  </si>
  <si>
    <t>Perjalanan dinas yang direncanakan</t>
  </si>
  <si>
    <t>Pembebanan Anggaran</t>
  </si>
  <si>
    <t>KE</t>
  </si>
  <si>
    <t>TRANSPORTASI</t>
  </si>
  <si>
    <t>SELAMA</t>
  </si>
  <si>
    <t>DARI TGL</t>
  </si>
  <si>
    <t>SAMPAI TGL</t>
  </si>
  <si>
    <t>MAKSUD PERJALANAN</t>
  </si>
  <si>
    <t>BERANGKAT DARI</t>
  </si>
  <si>
    <t>a.	 Dari</t>
  </si>
  <si>
    <t>b.	 Ke</t>
  </si>
  <si>
    <t>c.	 Transportasi menggunakan</t>
  </si>
  <si>
    <t>a.	 Selama</t>
  </si>
  <si>
    <t>b.	 Dari tanggal</t>
  </si>
  <si>
    <t>c.	 Sampai dengan tanggal</t>
  </si>
  <si>
    <t>a.	 Instansi</t>
  </si>
  <si>
    <t xml:space="preserve">Berangkat dari </t>
  </si>
  <si>
    <t xml:space="preserve">Pada Tanggal  </t>
  </si>
  <si>
    <t xml:space="preserve">Tiba di            </t>
  </si>
  <si>
    <t xml:space="preserve">Pada Tanggal </t>
  </si>
  <si>
    <t xml:space="preserve">Pada Tanggal   </t>
  </si>
  <si>
    <t>CATATAN LAIN-LAIN</t>
  </si>
  <si>
    <t>PERHATIAN :</t>
  </si>
  <si>
    <t>Pejabat yang berwenang menerbitkan SPPD, pegawai yang melakukan perjalanan dinas para pejabat yang mengesahkan  tanggal berangkat/tiba serta bendaharawan bertanggung jawab berdasarkan per- aturan-peraturan   keuangan Negara apa bila  Negara  menderita  rugi akibat kesalahan, kelalaian dan kealpaannya. (angka 8, lampiran surat  edaran  Menteri  Keuangan tanggal 30  April 1974 No. B.  296/ MK/I/4/1974).</t>
  </si>
  <si>
    <t>Telah   diperiksa, dengan keterangan  perjalanan tersebut  di atas  benar dilakukan atas perintahnya dan semata-mata untuk kepentingan jabatan dalam waktu yang sesingkat-singkatnya.</t>
  </si>
  <si>
    <t>NOMOR SURAT</t>
  </si>
  <si>
    <t>TANGGAL SURAT</t>
  </si>
  <si>
    <t>Umum</t>
  </si>
  <si>
    <t>1 Hari</t>
  </si>
  <si>
    <t>16 Januari 2024</t>
  </si>
  <si>
    <t>Nama</t>
  </si>
  <si>
    <t>Pangkat/Gol</t>
  </si>
  <si>
    <t>Jabatan</t>
  </si>
  <si>
    <t>Demikian surat tugas ini dibuat agar dapat dilaksanakan sebagaimana mestinya dan sesudahnya memberi laporan.</t>
  </si>
  <si>
    <t>kepada :</t>
  </si>
  <si>
    <t>PEMERINTAH DAERAH       :</t>
  </si>
  <si>
    <t>INSTANSI                                :</t>
  </si>
  <si>
    <t>ALAMAT                                 :</t>
  </si>
  <si>
    <t>KODE POS                              :</t>
  </si>
  <si>
    <t>NIP.                                          :</t>
  </si>
  <si>
    <t xml:space="preserve">Ke  </t>
  </si>
  <si>
    <t xml:space="preserve">Tiba di       </t>
  </si>
  <si>
    <t>c. Pangkat / Golongan</t>
  </si>
  <si>
    <t>d.	 J a b a t a n</t>
  </si>
  <si>
    <t>b. NIP</t>
  </si>
  <si>
    <t>a. Nama</t>
  </si>
  <si>
    <t>Maksud mengadakan perjalanan</t>
  </si>
  <si>
    <t>800/….../452.321.44/2024</t>
  </si>
  <si>
    <t>drh. Rihimeha A. Praing, MP</t>
  </si>
  <si>
    <t>Drs. Aryanto Umbu Jawud</t>
  </si>
  <si>
    <t>Yublina L. Dappa Sapu</t>
  </si>
  <si>
    <t>Paulus Laka, SH</t>
  </si>
  <si>
    <t>Yerli Inti Milla Kenda, S.Sos</t>
  </si>
  <si>
    <t>Nano Eko Prasetyo, ST</t>
  </si>
  <si>
    <t>Thimotius N. Kalumbang, A.Md</t>
  </si>
  <si>
    <t>Mauritz K. Mbele, S.Kom</t>
  </si>
  <si>
    <t>Elpride Pane, SE</t>
  </si>
  <si>
    <t>Alfredo K. Ortega, S.Kom</t>
  </si>
  <si>
    <t>Stepanus Umbu Robaka, SE</t>
  </si>
  <si>
    <t>Filipus Rasa Moro Wawi, S.Sos</t>
  </si>
  <si>
    <t>Yoan Yismaya Rasi, SE</t>
  </si>
  <si>
    <t>Jemris Lomi Loba, S.IP</t>
  </si>
  <si>
    <t>Juprison Sairo, S.Kom</t>
  </si>
  <si>
    <t>Eduardus L. Bani, SE</t>
  </si>
  <si>
    <t>Nikodemus U. Diala, A.Md</t>
  </si>
  <si>
    <t>Agusti Nunu, S.IP</t>
  </si>
  <si>
    <t>Apliana Kartini Ande, A.Md</t>
  </si>
  <si>
    <t>Khristina T. Daga, S.Sos</t>
  </si>
  <si>
    <t>Yosua A.R.P Pratama, S.Kom</t>
  </si>
  <si>
    <t>Sisilia S. Andung, S.Kom</t>
  </si>
  <si>
    <t>Yakub L. Seingo, S.Kom</t>
  </si>
  <si>
    <t>Anjela Ngadu</t>
  </si>
  <si>
    <t>NAMA PEGAWAI</t>
  </si>
  <si>
    <t>19680523 199803 1 005</t>
  </si>
  <si>
    <t>19720419 199303 1 003</t>
  </si>
  <si>
    <t>19670724 199702 2 001</t>
  </si>
  <si>
    <t>19670403 200801 1 014</t>
  </si>
  <si>
    <t>19800801 200604 1 013</t>
  </si>
  <si>
    <t>19771216 201001 1 013</t>
  </si>
  <si>
    <t>19710606 199903 1 008</t>
  </si>
  <si>
    <t>19830403 200903 1 004</t>
  </si>
  <si>
    <t>19760216 201001 2 021</t>
  </si>
  <si>
    <t>19860508 201001 1 019</t>
  </si>
  <si>
    <t>19671231 200212 1 001</t>
  </si>
  <si>
    <t>197410 16 200903 1 003</t>
  </si>
  <si>
    <t>19830623 201001 2 035</t>
  </si>
  <si>
    <t>19870720 201100 1 014</t>
  </si>
  <si>
    <t>19860611 201402 1 003</t>
  </si>
  <si>
    <t>19750213 200801 1 014</t>
  </si>
  <si>
    <t>19791119 200604 1 011</t>
  </si>
  <si>
    <t>19850816 201402 1 011</t>
  </si>
  <si>
    <t>19760421 201001 1 009</t>
  </si>
  <si>
    <t>19891215 201902 2 005</t>
  </si>
  <si>
    <t>19900726 201902 1 003</t>
  </si>
  <si>
    <t>19852806 201902 2 003</t>
  </si>
  <si>
    <t>19890619 202321 1 019</t>
  </si>
  <si>
    <t>19781022 201101 2 004</t>
  </si>
  <si>
    <t>IV/C</t>
  </si>
  <si>
    <t>IV/B</t>
  </si>
  <si>
    <t>IV/A</t>
  </si>
  <si>
    <t>III/C</t>
  </si>
  <si>
    <t>III/B</t>
  </si>
  <si>
    <t>III/D</t>
  </si>
  <si>
    <t>III/A</t>
  </si>
  <si>
    <t>II/D</t>
  </si>
  <si>
    <t>JABATAN</t>
  </si>
  <si>
    <t>GOLONGAN</t>
  </si>
  <si>
    <t>Kepala Dinas Komunikasi Dan Informatika</t>
  </si>
  <si>
    <t>Sekretaris Dinas Komunikasi dan Informatika</t>
  </si>
  <si>
    <t>Kepala Bidang Layanan Komunikasi dan Publik</t>
  </si>
  <si>
    <t>Kepala Bidang Pengelola Informasi Publik</t>
  </si>
  <si>
    <t>Kepala Bidang E-Govermen</t>
  </si>
  <si>
    <t xml:space="preserve">Kepala Bidang Teknologi Informasi Komunikasi </t>
  </si>
  <si>
    <t xml:space="preserve">Fungsional </t>
  </si>
  <si>
    <t>Pranata Komputer</t>
  </si>
  <si>
    <t xml:space="preserve">Kasubag Keuangan </t>
  </si>
  <si>
    <t xml:space="preserve">Kasubag Kepegawaian </t>
  </si>
  <si>
    <t>STAF</t>
  </si>
  <si>
    <t>Pertama Pranata Komputer</t>
  </si>
  <si>
    <t>Ahli Pertama Pranata Komputer</t>
  </si>
  <si>
    <t>PEMERINTAH KABUPATEN SUMBA BARAT DAYA</t>
  </si>
  <si>
    <t>DINAS KOMUNIKASI DAN INFORMATIKA</t>
  </si>
  <si>
    <t>KEPALA DINAS                      :</t>
  </si>
  <si>
    <t>monitoring</t>
  </si>
  <si>
    <t xml:space="preserve"> Jln.Ir. Soekarno, Kadula, kec. Kota. Tambolaka, Kab. SBD, Prov. NTT. Email: @gmail.com</t>
  </si>
  <si>
    <t xml:space="preserve">Yang bertanda tangan di bawah ini Kepala  Dinas Komunikasi dan Informatika memberikan tugas </t>
  </si>
  <si>
    <t>Kabupaten Sumba Barat Daya</t>
  </si>
  <si>
    <t>TAMBOLAKA</t>
  </si>
  <si>
    <t xml:space="preserve">           Jln.Ir. Soekarno, Kadula, kec. Kota. Tambolaka, Kab. SBD, Prov. NTT</t>
  </si>
  <si>
    <t>Pembina Utama Muda-IV/C</t>
  </si>
  <si>
    <t>KUPANG</t>
  </si>
  <si>
    <t>JAKARTA</t>
  </si>
  <si>
    <t xml:space="preserve">JOGJA </t>
  </si>
  <si>
    <t>SURABAYA</t>
  </si>
  <si>
    <t>Kepala Dinas Kominfo Kabupaten Sumba Barat Daya</t>
  </si>
  <si>
    <t xml:space="preserve">                                        Keputusan Menteri Keuangan Tentang</t>
  </si>
  <si>
    <t xml:space="preserve">                                        Perjalanan Dinas Dalam Negeri bagi Pejabat Negara</t>
  </si>
  <si>
    <t xml:space="preserve">                                        Pegawai Negeri Sipil dan Pegawai Tidak Tetap </t>
  </si>
  <si>
    <t xml:space="preserve">                                        Nomor	: </t>
  </si>
  <si>
    <t xml:space="preserve">                                        Tanggal	: </t>
  </si>
  <si>
    <t xml:space="preserve">                                        Lampiran  IV (1 dan 4)</t>
  </si>
  <si>
    <t>Dikeluarkan di : Tambolaka</t>
  </si>
  <si>
    <t xml:space="preserve">Pada Tanggal  : </t>
  </si>
  <si>
    <t>Pembina Utama Mudan - IV/c</t>
  </si>
  <si>
    <t xml:space="preserve"> </t>
  </si>
  <si>
    <t>b.	 Mata Anggaran</t>
  </si>
  <si>
    <t>Keterangan Lain-lain</t>
  </si>
  <si>
    <t xml:space="preserve">                Kepala Dinas Komunikasi dan Informatika 
                Kabupaten Sumba Barat Daya,</t>
  </si>
  <si>
    <t xml:space="preserve">  </t>
  </si>
  <si>
    <t xml:space="preserve">drh. Rihimeha A. Praing,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</si>
</sst>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_"/>
  </numFmts>
  <fonts count="30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name val="Arial Narrow"/>
      <family val="2"/>
    </font>
    <font>
      <b/>
      <sz val="14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36"/>
      <color theme="1"/>
      <name val="Arial Black"/>
      <family val="2"/>
    </font>
    <font>
      <sz val="10"/>
      <color rgb="FF000000"/>
      <name val="Arial"/>
      <family val="2"/>
    </font>
    <font>
      <b/>
      <u/>
      <sz val="14"/>
      <color theme="1"/>
      <name val="Times New Roman"/>
      <family val="1"/>
    </font>
    <font>
      <sz val="26"/>
      <color theme="1"/>
      <name val="Arial Black"/>
      <family val="2"/>
    </font>
    <font>
      <sz val="12"/>
      <color theme="1"/>
      <name val="Tahoma"/>
      <family val="2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2"/>
      <color rgb="FF000000"/>
      <name val="Arial"/>
      <family val="2"/>
    </font>
    <font>
      <b/>
      <i/>
      <sz val="12"/>
      <color rgb="FF000000"/>
      <name val="Arial"/>
      <family val="2"/>
    </font>
    <font>
      <i/>
      <sz val="16"/>
      <color rgb="FF000000"/>
      <name val="Arial"/>
      <family val="2"/>
    </font>
    <font>
      <i/>
      <sz val="12"/>
      <color theme="1"/>
      <name val="Times New Roman"/>
      <family val="1"/>
    </font>
    <font>
      <sz val="12"/>
      <color theme="1"/>
      <name val="Times New Roman"/>
      <family val="1"/>
      <charset val="1"/>
    </font>
    <font>
      <b/>
      <sz val="12"/>
      <color theme="1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i/>
      <sz val="12"/>
      <color rgb="FF000000"/>
      <name val="Times New Roman"/>
      <family val="1"/>
      <charset val="1"/>
    </font>
    <font>
      <sz val="12"/>
      <color rgb="FF000000"/>
      <name val="Times New Roman"/>
      <family val="1"/>
      <charset val="1"/>
    </font>
    <font>
      <b/>
      <u/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b/>
      <sz val="12"/>
      <color theme="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E6FF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0" fillId="2" borderId="4" xfId="0" applyFill="1" applyBorder="1"/>
    <xf numFmtId="49" fontId="3" fillId="3" borderId="9" xfId="0" applyNumberFormat="1" applyFont="1" applyFill="1" applyBorder="1" applyAlignment="1" applyProtection="1">
      <alignment horizontal="center" vertical="center"/>
      <protection locked="0"/>
    </xf>
    <xf numFmtId="49" fontId="3" fillId="3" borderId="10" xfId="0" applyNumberFormat="1" applyFont="1" applyFill="1" applyBorder="1" applyAlignment="1" applyProtection="1">
      <alignment horizontal="center" vertical="center"/>
      <protection locked="0"/>
    </xf>
    <xf numFmtId="49" fontId="3" fillId="3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/>
    <xf numFmtId="0" fontId="0" fillId="2" borderId="6" xfId="0" applyFill="1" applyBorder="1"/>
    <xf numFmtId="0" fontId="0" fillId="2" borderId="7" xfId="0" applyFill="1" applyBorder="1"/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Protection="1">
      <protection locked="0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vertical="center"/>
      <protection locked="0"/>
    </xf>
    <xf numFmtId="0" fontId="0" fillId="0" borderId="14" xfId="0" applyBorder="1"/>
    <xf numFmtId="49" fontId="3" fillId="3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15" xfId="0" applyBorder="1"/>
    <xf numFmtId="0" fontId="5" fillId="0" borderId="0" xfId="0" quotePrefix="1" applyFont="1" applyAlignment="1" applyProtection="1">
      <alignment horizontal="justify" vertical="center" wrapText="1"/>
      <protection locked="0"/>
    </xf>
    <xf numFmtId="0" fontId="5" fillId="0" borderId="0" xfId="0" quotePrefix="1" applyFont="1" applyAlignment="1" applyProtection="1">
      <alignment vertical="center" wrapText="1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vertical="center" wrapText="1"/>
      <protection locked="0"/>
    </xf>
    <xf numFmtId="0" fontId="5" fillId="0" borderId="19" xfId="0" applyFont="1" applyBorder="1" applyAlignment="1" applyProtection="1">
      <alignment vertical="center" wrapText="1"/>
      <protection locked="0"/>
    </xf>
    <xf numFmtId="0" fontId="5" fillId="0" borderId="17" xfId="0" applyFont="1" applyBorder="1" applyAlignment="1" applyProtection="1">
      <alignment vertical="center" wrapText="1"/>
      <protection locked="0"/>
    </xf>
    <xf numFmtId="0" fontId="5" fillId="0" borderId="25" xfId="0" quotePrefix="1" applyFont="1" applyBorder="1" applyAlignment="1" applyProtection="1">
      <alignment horizontal="justify" vertical="center" wrapText="1"/>
      <protection locked="0"/>
    </xf>
    <xf numFmtId="0" fontId="5" fillId="0" borderId="20" xfId="0" applyFont="1" applyBorder="1" applyAlignment="1" applyProtection="1">
      <alignment vertical="center"/>
      <protection locked="0"/>
    </xf>
    <xf numFmtId="0" fontId="5" fillId="0" borderId="25" xfId="0" quotePrefix="1" applyFont="1" applyBorder="1" applyAlignment="1" applyProtection="1">
      <alignment vertical="center" wrapText="1"/>
      <protection locked="0"/>
    </xf>
    <xf numFmtId="0" fontId="5" fillId="0" borderId="25" xfId="0" applyFont="1" applyBorder="1" applyAlignment="1" applyProtection="1">
      <alignment vertical="center"/>
      <protection locked="0"/>
    </xf>
    <xf numFmtId="0" fontId="5" fillId="0" borderId="21" xfId="0" applyFont="1" applyBorder="1" applyAlignment="1" applyProtection="1">
      <alignment vertical="center"/>
      <protection locked="0"/>
    </xf>
    <xf numFmtId="0" fontId="5" fillId="0" borderId="22" xfId="0" applyFont="1" applyBorder="1" applyAlignment="1" applyProtection="1">
      <alignment vertical="center"/>
      <protection locked="0"/>
    </xf>
    <xf numFmtId="0" fontId="5" fillId="0" borderId="24" xfId="0" applyFont="1" applyBorder="1" applyAlignment="1" applyProtection="1">
      <alignment vertical="center"/>
      <protection locked="0"/>
    </xf>
    <xf numFmtId="0" fontId="5" fillId="0" borderId="19" xfId="0" applyFont="1" applyBorder="1" applyAlignment="1" applyProtection="1">
      <alignment vertical="center"/>
      <protection locked="0"/>
    </xf>
    <xf numFmtId="0" fontId="5" fillId="0" borderId="23" xfId="0" applyFont="1" applyBorder="1" applyAlignment="1" applyProtection="1">
      <alignment vertical="center"/>
      <protection locked="0"/>
    </xf>
    <xf numFmtId="0" fontId="5" fillId="0" borderId="25" xfId="0" applyFont="1" applyBorder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25" xfId="0" applyFont="1" applyBorder="1" applyAlignment="1" applyProtection="1">
      <alignment vertical="center" wrapText="1"/>
      <protection locked="0"/>
    </xf>
    <xf numFmtId="0" fontId="9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49" fontId="6" fillId="0" borderId="0" xfId="0" applyNumberFormat="1" applyFont="1" applyAlignment="1">
      <alignment vertical="center"/>
    </xf>
    <xf numFmtId="0" fontId="10" fillId="0" borderId="0" xfId="0" applyFont="1" applyAlignment="1" applyProtection="1">
      <alignment vertical="center"/>
      <protection locked="0"/>
    </xf>
    <xf numFmtId="0" fontId="5" fillId="0" borderId="24" xfId="0" applyFont="1" applyBorder="1" applyAlignment="1" applyProtection="1">
      <alignment horizontal="left" vertical="top"/>
      <protection locked="0"/>
    </xf>
    <xf numFmtId="0" fontId="5" fillId="0" borderId="19" xfId="0" applyFont="1" applyBorder="1" applyAlignment="1" applyProtection="1">
      <alignment horizontal="left" vertical="top"/>
      <protection locked="0"/>
    </xf>
    <xf numFmtId="0" fontId="5" fillId="0" borderId="17" xfId="0" applyFont="1" applyBorder="1" applyAlignment="1" applyProtection="1">
      <alignment horizontal="left" vertical="top"/>
      <protection locked="0"/>
    </xf>
    <xf numFmtId="0" fontId="5" fillId="0" borderId="24" xfId="0" applyFont="1" applyBorder="1" applyAlignment="1" applyProtection="1">
      <alignment vertical="top"/>
      <protection locked="0"/>
    </xf>
    <xf numFmtId="0" fontId="5" fillId="0" borderId="19" xfId="0" applyFont="1" applyBorder="1" applyAlignment="1" applyProtection="1">
      <alignment vertical="top"/>
      <protection locked="0"/>
    </xf>
    <xf numFmtId="0" fontId="0" fillId="0" borderId="13" xfId="0" quotePrefix="1" applyBorder="1"/>
    <xf numFmtId="15" fontId="0" fillId="0" borderId="15" xfId="0" quotePrefix="1" applyNumberFormat="1" applyBorder="1"/>
    <xf numFmtId="0" fontId="5" fillId="0" borderId="0" xfId="0" applyFont="1" applyAlignment="1">
      <alignment horizontal="left" vertical="center"/>
    </xf>
    <xf numFmtId="0" fontId="1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7" fillId="0" borderId="0" xfId="0" applyFont="1"/>
    <xf numFmtId="0" fontId="17" fillId="2" borderId="5" xfId="0" applyFont="1" applyFill="1" applyBorder="1"/>
    <xf numFmtId="0" fontId="0" fillId="2" borderId="5" xfId="0" applyFill="1" applyBorder="1"/>
    <xf numFmtId="0" fontId="17" fillId="0" borderId="2" xfId="0" applyFont="1" applyBorder="1"/>
    <xf numFmtId="0" fontId="17" fillId="0" borderId="3" xfId="0" applyFont="1" applyBorder="1"/>
    <xf numFmtId="0" fontId="0" fillId="0" borderId="7" xfId="0" applyBorder="1"/>
    <xf numFmtId="0" fontId="0" fillId="0" borderId="8" xfId="0" applyBorder="1"/>
    <xf numFmtId="0" fontId="17" fillId="0" borderId="5" xfId="0" applyFont="1" applyBorder="1"/>
    <xf numFmtId="0" fontId="0" fillId="0" borderId="2" xfId="0" applyBorder="1"/>
    <xf numFmtId="0" fontId="16" fillId="0" borderId="2" xfId="0" applyFont="1" applyBorder="1"/>
    <xf numFmtId="0" fontId="16" fillId="0" borderId="0" xfId="0" applyFont="1"/>
    <xf numFmtId="0" fontId="16" fillId="0" borderId="7" xfId="0" applyFont="1" applyBorder="1"/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17" fillId="0" borderId="1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7" xfId="0" applyFill="1" applyBorder="1" applyAlignment="1">
      <alignment horizontal="center"/>
    </xf>
    <xf numFmtId="15" fontId="0" fillId="0" borderId="13" xfId="0" quotePrefix="1" applyNumberFormat="1" applyBorder="1"/>
    <xf numFmtId="15" fontId="0" fillId="0" borderId="14" xfId="0" quotePrefix="1" applyNumberFormat="1" applyBorder="1"/>
    <xf numFmtId="0" fontId="0" fillId="0" borderId="13" xfId="0" applyBorder="1" applyAlignment="1">
      <alignment wrapText="1"/>
    </xf>
    <xf numFmtId="0" fontId="6" fillId="0" borderId="0" xfId="0" applyFont="1" applyAlignment="1">
      <alignment horizontal="center"/>
    </xf>
    <xf numFmtId="0" fontId="6" fillId="0" borderId="0" xfId="0" applyFont="1" applyAlignment="1" applyProtection="1">
      <alignment horizontal="left" vertical="center"/>
      <protection locked="0"/>
    </xf>
    <xf numFmtId="49" fontId="6" fillId="0" borderId="0" xfId="0" applyNumberFormat="1" applyFont="1" applyAlignment="1">
      <alignment horizontal="left" vertical="center"/>
    </xf>
    <xf numFmtId="0" fontId="10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 applyProtection="1">
      <alignment horizontal="left" vertical="center"/>
      <protection locked="0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top" indent="3"/>
    </xf>
    <xf numFmtId="0" fontId="0" fillId="0" borderId="0" xfId="0" applyAlignment="1">
      <alignment horizontal="left" vertical="top" indent="3"/>
    </xf>
    <xf numFmtId="0" fontId="9" fillId="0" borderId="0" xfId="0" applyFont="1" applyAlignment="1" applyProtection="1">
      <alignment horizontal="left" vertical="top" indent="3"/>
      <protection locked="0"/>
    </xf>
    <xf numFmtId="0" fontId="21" fillId="0" borderId="0" xfId="0" applyFont="1" applyAlignment="1">
      <alignment horizontal="left" vertical="top" indent="3"/>
    </xf>
    <xf numFmtId="0" fontId="5" fillId="0" borderId="0" xfId="0" applyFont="1" applyAlignment="1">
      <alignment horizontal="left" vertical="top" indent="3"/>
    </xf>
    <xf numFmtId="0" fontId="8" fillId="0" borderId="0" xfId="0" applyFont="1" applyAlignment="1" applyProtection="1">
      <alignment horizontal="left" vertical="top" indent="3"/>
      <protection locked="0"/>
    </xf>
    <xf numFmtId="0" fontId="22" fillId="0" borderId="0" xfId="0" applyFont="1" applyAlignment="1" applyProtection="1">
      <alignment horizontal="center"/>
      <protection locked="0"/>
    </xf>
    <xf numFmtId="0" fontId="22" fillId="0" borderId="0" xfId="0" applyFont="1" applyAlignment="1">
      <alignment horizontal="center"/>
    </xf>
    <xf numFmtId="0" fontId="22" fillId="0" borderId="13" xfId="0" applyFont="1" applyBorder="1" applyAlignment="1" applyProtection="1">
      <alignment horizontal="center" vertical="top"/>
      <protection locked="0"/>
    </xf>
    <xf numFmtId="0" fontId="22" fillId="0" borderId="15" xfId="0" applyFont="1" applyBorder="1" applyAlignment="1" applyProtection="1">
      <alignment horizontal="center" vertical="top"/>
      <protection locked="0"/>
    </xf>
    <xf numFmtId="0" fontId="22" fillId="0" borderId="0" xfId="0" applyFont="1" applyAlignment="1">
      <alignment horizontal="center" vertical="center"/>
    </xf>
    <xf numFmtId="0" fontId="22" fillId="0" borderId="26" xfId="0" applyFont="1" applyBorder="1" applyAlignment="1" applyProtection="1">
      <alignment horizontal="center" vertical="top"/>
      <protection locked="0"/>
    </xf>
    <xf numFmtId="0" fontId="22" fillId="0" borderId="17" xfId="0" applyFont="1" applyBorder="1" applyAlignment="1" applyProtection="1">
      <alignment horizontal="center" vertical="top"/>
      <protection locked="0"/>
    </xf>
    <xf numFmtId="0" fontId="22" fillId="0" borderId="27" xfId="0" applyFont="1" applyBorder="1" applyAlignment="1" applyProtection="1">
      <alignment horizontal="center" vertical="top"/>
      <protection locked="0"/>
    </xf>
    <xf numFmtId="0" fontId="22" fillId="0" borderId="25" xfId="0" applyFont="1" applyBorder="1" applyAlignment="1" applyProtection="1">
      <alignment horizontal="center" vertical="top" wrapText="1"/>
      <protection locked="0"/>
    </xf>
    <xf numFmtId="0" fontId="22" fillId="0" borderId="0" xfId="0" applyFont="1" applyAlignment="1" applyProtection="1">
      <alignment horizontal="center" vertical="top" wrapText="1"/>
      <protection locked="0"/>
    </xf>
    <xf numFmtId="0" fontId="22" fillId="0" borderId="20" xfId="0" applyFont="1" applyBorder="1" applyAlignment="1" applyProtection="1">
      <alignment horizontal="center" vertical="top" wrapText="1"/>
      <protection locked="0"/>
    </xf>
    <xf numFmtId="0" fontId="22" fillId="0" borderId="27" xfId="0" applyFont="1" applyBorder="1" applyAlignment="1" applyProtection="1">
      <alignment horizontal="center" vertical="top" wrapText="1"/>
      <protection locked="0"/>
    </xf>
    <xf numFmtId="0" fontId="22" fillId="0" borderId="0" xfId="0" quotePrefix="1" applyFont="1" applyAlignment="1" applyProtection="1">
      <alignment horizontal="center" vertical="top" wrapText="1"/>
      <protection locked="0"/>
    </xf>
    <xf numFmtId="0" fontId="22" fillId="0" borderId="20" xfId="0" quotePrefix="1" applyFont="1" applyBorder="1" applyAlignment="1" applyProtection="1">
      <alignment horizontal="center" vertical="top" wrapText="1"/>
      <protection locked="0"/>
    </xf>
    <xf numFmtId="0" fontId="22" fillId="0" borderId="28" xfId="0" applyFont="1" applyBorder="1" applyAlignment="1" applyProtection="1">
      <alignment horizontal="center" vertical="top"/>
      <protection locked="0"/>
    </xf>
    <xf numFmtId="0" fontId="22" fillId="0" borderId="23" xfId="0" applyFont="1" applyBorder="1" applyAlignment="1" applyProtection="1">
      <alignment horizontal="center" vertical="top"/>
      <protection locked="0"/>
    </xf>
    <xf numFmtId="0" fontId="22" fillId="0" borderId="21" xfId="0" quotePrefix="1" applyFont="1" applyBorder="1" applyAlignment="1" applyProtection="1">
      <alignment horizontal="center" vertical="top" wrapText="1"/>
      <protection locked="0"/>
    </xf>
    <xf numFmtId="0" fontId="22" fillId="0" borderId="22" xfId="0" quotePrefix="1" applyFont="1" applyBorder="1" applyAlignment="1" applyProtection="1">
      <alignment horizontal="center" vertical="top" wrapText="1"/>
      <protection locked="0"/>
    </xf>
    <xf numFmtId="0" fontId="28" fillId="0" borderId="17" xfId="0" applyFont="1" applyBorder="1" applyAlignment="1" applyProtection="1">
      <alignment horizontal="center" vertical="top" wrapText="1"/>
      <protection locked="0"/>
    </xf>
    <xf numFmtId="0" fontId="22" fillId="0" borderId="25" xfId="0" applyFont="1" applyBorder="1" applyAlignment="1" applyProtection="1">
      <alignment horizontal="center" vertical="top"/>
      <protection locked="0"/>
    </xf>
    <xf numFmtId="0" fontId="22" fillId="0" borderId="0" xfId="0" applyFont="1" applyAlignment="1" applyProtection="1">
      <alignment horizontal="center" vertical="top"/>
      <protection locked="0"/>
    </xf>
    <xf numFmtId="0" fontId="22" fillId="0" borderId="20" xfId="0" applyFont="1" applyBorder="1" applyAlignment="1" applyProtection="1">
      <alignment horizontal="center" vertical="top"/>
      <protection locked="0"/>
    </xf>
    <xf numFmtId="0" fontId="28" fillId="0" borderId="27" xfId="0" applyFont="1" applyBorder="1" applyAlignment="1" applyProtection="1">
      <alignment horizontal="center" vertical="top" wrapText="1"/>
      <protection locked="0"/>
    </xf>
    <xf numFmtId="0" fontId="22" fillId="0" borderId="21" xfId="0" applyFont="1" applyBorder="1" applyAlignment="1" applyProtection="1">
      <alignment horizontal="center" vertical="top"/>
      <protection locked="0"/>
    </xf>
    <xf numFmtId="0" fontId="22" fillId="0" borderId="22" xfId="0" applyFont="1" applyBorder="1" applyAlignment="1" applyProtection="1">
      <alignment horizontal="center" vertical="top"/>
      <protection locked="0"/>
    </xf>
    <xf numFmtId="0" fontId="28" fillId="0" borderId="28" xfId="0" applyFont="1" applyBorder="1" applyAlignment="1" applyProtection="1">
      <alignment horizontal="center" vertical="top" wrapText="1"/>
      <protection locked="0"/>
    </xf>
    <xf numFmtId="0" fontId="22" fillId="0" borderId="26" xfId="0" applyFont="1" applyBorder="1" applyAlignment="1" applyProtection="1">
      <alignment horizontal="center" vertical="top" wrapText="1"/>
      <protection locked="0"/>
    </xf>
    <xf numFmtId="0" fontId="22" fillId="0" borderId="28" xfId="0" applyFont="1" applyBorder="1" applyAlignment="1" applyProtection="1">
      <alignment horizontal="center" vertical="top" wrapText="1"/>
      <protection locked="0"/>
    </xf>
    <xf numFmtId="0" fontId="22" fillId="0" borderId="15" xfId="0" applyFont="1" applyBorder="1" applyAlignment="1" applyProtection="1">
      <alignment horizontal="center" vertical="top" wrapText="1"/>
      <protection locked="0"/>
    </xf>
    <xf numFmtId="0" fontId="22" fillId="0" borderId="23" xfId="0" applyFont="1" applyBorder="1" applyAlignment="1" applyProtection="1">
      <alignment horizontal="center" vertical="top" wrapText="1"/>
      <protection locked="0"/>
    </xf>
    <xf numFmtId="0" fontId="22" fillId="0" borderId="13" xfId="0" applyFont="1" applyBorder="1" applyAlignment="1" applyProtection="1">
      <alignment horizontal="center" vertical="top" wrapText="1"/>
      <protection locked="0"/>
    </xf>
    <xf numFmtId="0" fontId="22" fillId="0" borderId="0" xfId="0" applyFont="1" applyAlignment="1">
      <alignment horizontal="right" vertical="center"/>
    </xf>
    <xf numFmtId="0" fontId="22" fillId="0" borderId="0" xfId="0" applyFont="1" applyAlignment="1" applyProtection="1">
      <alignment horizontal="right" vertical="center" wrapText="1"/>
      <protection locked="0"/>
    </xf>
    <xf numFmtId="0" fontId="2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/>
      <protection locked="0"/>
    </xf>
    <xf numFmtId="0" fontId="22" fillId="0" borderId="13" xfId="0" applyFont="1" applyBorder="1" applyAlignment="1">
      <alignment horizontal="center"/>
    </xf>
    <xf numFmtId="164" fontId="22" fillId="0" borderId="0" xfId="0" applyNumberFormat="1" applyFont="1" applyAlignment="1" applyProtection="1">
      <alignment horizontal="right"/>
      <protection locked="0"/>
    </xf>
    <xf numFmtId="0" fontId="22" fillId="0" borderId="0" xfId="0" applyFont="1" applyAlignment="1">
      <alignment horizontal="left" vertical="center" indent="14"/>
    </xf>
    <xf numFmtId="0" fontId="22" fillId="0" borderId="0" xfId="0" applyFont="1" applyAlignment="1" applyProtection="1">
      <alignment horizontal="left" vertical="center" wrapText="1" indent="14"/>
      <protection locked="0"/>
    </xf>
    <xf numFmtId="0" fontId="22" fillId="0" borderId="0" xfId="0" applyFont="1" applyAlignment="1" applyProtection="1">
      <alignment horizontal="left" indent="14"/>
      <protection locked="0"/>
    </xf>
    <xf numFmtId="0" fontId="22" fillId="0" borderId="0" xfId="0" applyFont="1" applyAlignment="1">
      <alignment horizontal="left" indent="21"/>
    </xf>
    <xf numFmtId="0" fontId="22" fillId="0" borderId="0" xfId="0" applyFont="1" applyAlignment="1" applyProtection="1">
      <alignment horizontal="left" vertical="center" indent="21"/>
      <protection locked="0"/>
    </xf>
    <xf numFmtId="164" fontId="27" fillId="0" borderId="0" xfId="0" applyNumberFormat="1" applyFont="1" applyAlignment="1">
      <alignment horizontal="left" vertical="center" wrapText="1" indent="21"/>
    </xf>
    <xf numFmtId="0" fontId="0" fillId="2" borderId="5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7" fillId="0" borderId="0" xfId="0" applyFont="1" applyAlignment="1" applyProtection="1">
      <alignment horizontal="center" vertical="center"/>
      <protection locked="0"/>
    </xf>
    <xf numFmtId="0" fontId="28" fillId="0" borderId="0" xfId="0" applyFont="1" applyAlignment="1" applyProtection="1">
      <alignment horizontal="center" vertical="center"/>
      <protection locked="0"/>
    </xf>
    <xf numFmtId="0" fontId="22" fillId="0" borderId="26" xfId="0" applyFont="1" applyBorder="1" applyAlignment="1" applyProtection="1">
      <alignment horizontal="center" vertical="top"/>
      <protection locked="0"/>
    </xf>
    <xf numFmtId="0" fontId="22" fillId="0" borderId="27" xfId="0" applyFont="1" applyBorder="1" applyAlignment="1" applyProtection="1">
      <alignment horizontal="center" vertical="top"/>
      <protection locked="0"/>
    </xf>
    <xf numFmtId="0" fontId="22" fillId="0" borderId="28" xfId="0" applyFont="1" applyBorder="1" applyAlignment="1" applyProtection="1">
      <alignment horizontal="center" vertical="top"/>
      <protection locked="0"/>
    </xf>
    <xf numFmtId="0" fontId="22" fillId="0" borderId="14" xfId="0" applyFont="1" applyBorder="1" applyAlignment="1" applyProtection="1">
      <alignment horizontal="center" vertical="top"/>
      <protection locked="0"/>
    </xf>
    <xf numFmtId="0" fontId="22" fillId="0" borderId="18" xfId="0" applyFont="1" applyBorder="1" applyAlignment="1" applyProtection="1">
      <alignment horizontal="center" vertical="top"/>
      <protection locked="0"/>
    </xf>
    <xf numFmtId="0" fontId="22" fillId="0" borderId="15" xfId="0" applyFont="1" applyBorder="1" applyAlignment="1" applyProtection="1">
      <alignment horizontal="center" vertical="top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center" vertic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23" fillId="0" borderId="0" xfId="0" applyFont="1" applyAlignment="1">
      <alignment horizontal="center" vertical="center"/>
    </xf>
    <xf numFmtId="0" fontId="22" fillId="0" borderId="24" xfId="0" applyFont="1" applyBorder="1" applyAlignment="1" applyProtection="1">
      <alignment horizontal="center" vertical="top"/>
      <protection locked="0"/>
    </xf>
    <xf numFmtId="0" fontId="22" fillId="0" borderId="19" xfId="0" applyFont="1" applyBorder="1" applyAlignment="1" applyProtection="1">
      <alignment horizontal="center" vertical="top"/>
      <protection locked="0"/>
    </xf>
    <xf numFmtId="0" fontId="22" fillId="0" borderId="17" xfId="0" applyFont="1" applyBorder="1" applyAlignment="1" applyProtection="1">
      <alignment horizontal="center" vertical="top"/>
      <protection locked="0"/>
    </xf>
    <xf numFmtId="0" fontId="29" fillId="2" borderId="29" xfId="0" applyFont="1" applyFill="1" applyBorder="1" applyAlignment="1">
      <alignment horizontal="center" vertical="center"/>
    </xf>
    <xf numFmtId="0" fontId="29" fillId="2" borderId="31" xfId="0" applyFont="1" applyFill="1" applyBorder="1" applyAlignment="1">
      <alignment horizontal="center" vertical="center"/>
    </xf>
    <xf numFmtId="0" fontId="29" fillId="2" borderId="30" xfId="0" applyFont="1" applyFill="1" applyBorder="1" applyAlignment="1">
      <alignment horizontal="center" vertical="center"/>
    </xf>
    <xf numFmtId="0" fontId="22" fillId="0" borderId="0" xfId="0" applyFont="1" applyAlignment="1" applyProtection="1">
      <alignment horizontal="right" vertical="top"/>
      <protection locked="0"/>
    </xf>
    <xf numFmtId="0" fontId="22" fillId="0" borderId="23" xfId="0" applyFont="1" applyBorder="1" applyAlignment="1" applyProtection="1">
      <alignment horizontal="center" vertical="top" wrapText="1"/>
      <protection locked="0"/>
    </xf>
    <xf numFmtId="0" fontId="22" fillId="0" borderId="21" xfId="0" applyFont="1" applyBorder="1" applyAlignment="1" applyProtection="1">
      <alignment horizontal="center" vertical="top" wrapText="1"/>
      <protection locked="0"/>
    </xf>
    <xf numFmtId="0" fontId="22" fillId="0" borderId="22" xfId="0" applyFont="1" applyBorder="1" applyAlignment="1" applyProtection="1">
      <alignment horizontal="center" vertical="top" wrapText="1"/>
      <protection locked="0"/>
    </xf>
    <xf numFmtId="0" fontId="22" fillId="0" borderId="23" xfId="0" applyFont="1" applyBorder="1" applyAlignment="1" applyProtection="1">
      <alignment horizontal="center" vertical="top"/>
      <protection locked="0"/>
    </xf>
    <xf numFmtId="0" fontId="22" fillId="0" borderId="21" xfId="0" applyFont="1" applyBorder="1" applyAlignment="1" applyProtection="1">
      <alignment horizontal="center" vertical="top"/>
      <protection locked="0"/>
    </xf>
    <xf numFmtId="0" fontId="22" fillId="0" borderId="22" xfId="0" applyFont="1" applyBorder="1" applyAlignment="1" applyProtection="1">
      <alignment horizontal="center" vertical="top"/>
      <protection locked="0"/>
    </xf>
    <xf numFmtId="0" fontId="11" fillId="2" borderId="29" xfId="0" applyFont="1" applyFill="1" applyBorder="1" applyAlignment="1">
      <alignment horizontal="center" vertical="center"/>
    </xf>
    <xf numFmtId="0" fontId="11" fillId="2" borderId="30" xfId="0" applyFont="1" applyFill="1" applyBorder="1" applyAlignment="1">
      <alignment horizontal="center" vertical="center"/>
    </xf>
    <xf numFmtId="0" fontId="8" fillId="0" borderId="0" xfId="0" applyFont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left" vertical="top" wrapText="1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5" fillId="0" borderId="24" xfId="0" applyFont="1" applyBorder="1" applyAlignment="1" applyProtection="1">
      <alignment horizontal="justify" vertical="top" wrapText="1"/>
      <protection locked="0"/>
    </xf>
    <xf numFmtId="0" fontId="5" fillId="0" borderId="19" xfId="0" applyFont="1" applyBorder="1" applyAlignment="1" applyProtection="1">
      <alignment horizontal="justify" vertical="top" wrapText="1"/>
      <protection locked="0"/>
    </xf>
    <xf numFmtId="0" fontId="5" fillId="0" borderId="17" xfId="0" applyFont="1" applyBorder="1" applyAlignment="1" applyProtection="1">
      <alignment horizontal="justify" vertical="top" wrapText="1"/>
      <protection locked="0"/>
    </xf>
    <xf numFmtId="0" fontId="5" fillId="0" borderId="25" xfId="0" applyFont="1" applyBorder="1" applyAlignment="1" applyProtection="1">
      <alignment horizontal="justify" vertical="top" wrapText="1"/>
      <protection locked="0"/>
    </xf>
    <xf numFmtId="0" fontId="5" fillId="0" borderId="0" xfId="0" applyFont="1" applyAlignment="1" applyProtection="1">
      <alignment horizontal="justify" vertical="top" wrapText="1"/>
      <protection locked="0"/>
    </xf>
    <xf numFmtId="0" fontId="5" fillId="0" borderId="20" xfId="0" applyFont="1" applyBorder="1" applyAlignment="1" applyProtection="1">
      <alignment horizontal="justify" vertical="top" wrapText="1"/>
      <protection locked="0"/>
    </xf>
    <xf numFmtId="0" fontId="5" fillId="0" borderId="23" xfId="0" applyFont="1" applyBorder="1" applyAlignment="1" applyProtection="1">
      <alignment horizontal="justify" vertical="top" wrapText="1"/>
      <protection locked="0"/>
    </xf>
    <xf numFmtId="0" fontId="5" fillId="0" borderId="21" xfId="0" applyFont="1" applyBorder="1" applyAlignment="1" applyProtection="1">
      <alignment horizontal="justify" vertical="top" wrapText="1"/>
      <protection locked="0"/>
    </xf>
    <xf numFmtId="0" fontId="5" fillId="0" borderId="22" xfId="0" applyFont="1" applyBorder="1" applyAlignment="1" applyProtection="1">
      <alignment horizontal="justify" vertical="top" wrapText="1"/>
      <protection locked="0"/>
    </xf>
    <xf numFmtId="0" fontId="6" fillId="0" borderId="25" xfId="0" applyFont="1" applyBorder="1" applyAlignment="1" applyProtection="1">
      <alignment horizontal="left" vertical="center" wrapText="1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0" fontId="5" fillId="0" borderId="19" xfId="0" applyFont="1" applyBorder="1" applyAlignment="1" applyProtection="1">
      <alignment horizontal="left" vertical="center"/>
      <protection locked="0"/>
    </xf>
    <xf numFmtId="0" fontId="5" fillId="0" borderId="17" xfId="0" applyFont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left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6" fillId="0" borderId="20" xfId="0" applyFont="1" applyBorder="1" applyAlignment="1" applyProtection="1">
      <alignment horizontal="left" vertical="center"/>
      <protection locked="0"/>
    </xf>
    <xf numFmtId="0" fontId="5" fillId="0" borderId="25" xfId="0" applyFont="1" applyBorder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5" fillId="0" borderId="20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 wrapText="1"/>
      <protection locked="0"/>
    </xf>
    <xf numFmtId="0" fontId="5" fillId="0" borderId="21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justify" vertical="center" wrapText="1"/>
    </xf>
    <xf numFmtId="0" fontId="5" fillId="0" borderId="19" xfId="0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25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20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center" vertical="center"/>
      <protection locked="0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4" fillId="2" borderId="29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9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pin" dx="31" fmlaLink="$H$12" max="300" min="1" page="10" val="17"/>
</file>

<file path=xl/ctrlProps/ctrlProp2.xml><?xml version="1.0" encoding="utf-8"?>
<formControlPr xmlns="http://schemas.microsoft.com/office/spreadsheetml/2009/9/main" objectType="Spin" dx="31" fmlaLink="$H$9" max="30000" min="1" page="10" val="32"/>
</file>

<file path=xl/ctrlProps/ctrlProp3.xml><?xml version="1.0" encoding="utf-8"?>
<formControlPr xmlns="http://schemas.microsoft.com/office/spreadsheetml/2009/9/main" objectType="Spin" dx="31" fmlaLink="$H$6" max="30000" min="1" page="1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Data!A1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hyperlink" Target="#Data!A1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190500</xdr:colOff>
      <xdr:row>7</xdr:row>
      <xdr:rowOff>123825</xdr:rowOff>
    </xdr:from>
    <xdr:to>
      <xdr:col>17</xdr:col>
      <xdr:colOff>499781</xdr:colOff>
      <xdr:row>11</xdr:row>
      <xdr:rowOff>138393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9716750" y="1431178"/>
          <a:ext cx="916266" cy="770965"/>
          <a:chOff x="8979097" y="491550"/>
          <a:chExt cx="904875" cy="771525"/>
        </a:xfrm>
      </xdr:grpSpPr>
      <xdr:pic>
        <xdr:nvPicPr>
          <xdr:cNvPr id="3" name="Picture 2" descr="home 111.jpg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3784" t="14468" r="13468" b="12287"/>
          <a:stretch/>
        </xdr:blipFill>
        <xdr:spPr bwMode="auto">
          <a:xfrm>
            <a:off x="8979097" y="491550"/>
            <a:ext cx="904875" cy="7715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4" name="Rectangle 3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8980991" y="679383"/>
            <a:ext cx="869148" cy="405432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2000" b="1" cap="none" spc="0">
                <a:ln w="6600">
                  <a:solidFill>
                    <a:schemeClr val="accent2"/>
                  </a:solidFill>
                  <a:prstDash val="solid"/>
                </a:ln>
                <a:solidFill>
                  <a:srgbClr val="FFFFFF"/>
                </a:solidFill>
                <a:effectLst>
                  <a:outerShdw dist="38100" dir="2700000" algn="tl" rotWithShape="0">
                    <a:schemeClr val="accent2"/>
                  </a:outerShdw>
                </a:effectLst>
              </a:rPr>
              <a:t>HOME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5</xdr:row>
      <xdr:rowOff>38100</xdr:rowOff>
    </xdr:from>
    <xdr:to>
      <xdr:col>6</xdr:col>
      <xdr:colOff>0</xdr:colOff>
      <xdr:row>5</xdr:row>
      <xdr:rowOff>38100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9525" y="1194126"/>
          <a:ext cx="6242783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574675</xdr:colOff>
      <xdr:row>6</xdr:row>
      <xdr:rowOff>165100</xdr:rowOff>
    </xdr:from>
    <xdr:to>
      <xdr:col>8</xdr:col>
      <xdr:colOff>274356</xdr:colOff>
      <xdr:row>10</xdr:row>
      <xdr:rowOff>49493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pSpPr/>
      </xdr:nvGrpSpPr>
      <xdr:grpSpPr>
        <a:xfrm>
          <a:off x="7674994" y="1395902"/>
          <a:ext cx="1058189" cy="691863"/>
          <a:chOff x="671707" y="337575"/>
          <a:chExt cx="904875" cy="771525"/>
        </a:xfrm>
      </xdr:grpSpPr>
      <xdr:pic>
        <xdr:nvPicPr>
          <xdr:cNvPr id="6" name="Picture 5" descr="home 111.jpg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clrChange>
              <a:clrFrom>
                <a:srgbClr val="FFFFFF"/>
              </a:clrFrom>
              <a:clrTo>
                <a:srgbClr val="FFFFFF">
                  <a:alpha val="0"/>
                </a:srgbClr>
              </a:clrTo>
            </a:clrChange>
          </a:blip>
          <a:srcRect l="13784" t="14468" r="13468" b="12287"/>
          <a:stretch/>
        </xdr:blipFill>
        <xdr:spPr bwMode="auto">
          <a:xfrm>
            <a:off x="671707" y="337575"/>
            <a:ext cx="904875" cy="7715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7" name="Rectangle 6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692360" y="513715"/>
            <a:ext cx="869148" cy="405433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en-US" sz="2000" b="1" cap="none" spc="0">
                <a:ln w="6600">
                  <a:solidFill>
                    <a:schemeClr val="accent2"/>
                  </a:solidFill>
                  <a:prstDash val="solid"/>
                </a:ln>
                <a:solidFill>
                  <a:srgbClr val="FFFFFF"/>
                </a:solidFill>
                <a:effectLst>
                  <a:outerShdw dist="38100" dir="2700000" algn="tl" rotWithShape="0">
                    <a:schemeClr val="accent2"/>
                  </a:outerShdw>
                </a:effectLst>
              </a:rPr>
              <a:t>HOME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31750</xdr:colOff>
          <xdr:row>11</xdr:row>
          <xdr:rowOff>12700</xdr:rowOff>
        </xdr:from>
        <xdr:to>
          <xdr:col>8</xdr:col>
          <xdr:colOff>596900</xdr:colOff>
          <xdr:row>14</xdr:row>
          <xdr:rowOff>12700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2</xdr:col>
      <xdr:colOff>162912</xdr:colOff>
      <xdr:row>0</xdr:row>
      <xdr:rowOff>9621</xdr:rowOff>
    </xdr:from>
    <xdr:to>
      <xdr:col>2</xdr:col>
      <xdr:colOff>826221</xdr:colOff>
      <xdr:row>3</xdr:row>
      <xdr:rowOff>14679</xdr:rowOff>
    </xdr:to>
    <xdr:pic>
      <xdr:nvPicPr>
        <xdr:cNvPr id="3" name="Picture 2" descr="Bitmap in LOGO SBD">
          <a:extLst>
            <a:ext uri="{FF2B5EF4-FFF2-40B4-BE49-F238E27FC236}">
              <a16:creationId xmlns:a16="http://schemas.microsoft.com/office/drawing/2014/main" id="{A357797C-4213-49D0-A31B-0A726CEF8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692079" y="9621"/>
          <a:ext cx="663309" cy="640058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12700</xdr:colOff>
          <xdr:row>7</xdr:row>
          <xdr:rowOff>196850</xdr:rowOff>
        </xdr:from>
        <xdr:to>
          <xdr:col>9</xdr:col>
          <xdr:colOff>19050</xdr:colOff>
          <xdr:row>10</xdr:row>
          <xdr:rowOff>6350</xdr:rowOff>
        </xdr:to>
        <xdr:sp macro="" textlink="">
          <xdr:nvSpPr>
            <xdr:cNvPr id="7169" name="Spinne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2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116547</xdr:colOff>
      <xdr:row>5</xdr:row>
      <xdr:rowOff>16696</xdr:rowOff>
    </xdr:from>
    <xdr:to>
      <xdr:col>6</xdr:col>
      <xdr:colOff>107022</xdr:colOff>
      <xdr:row>5</xdr:row>
      <xdr:rowOff>16696</xdr:rowOff>
    </xdr:to>
    <xdr:sp macro="" textlink="">
      <xdr:nvSpPr>
        <xdr:cNvPr id="2" name="Lin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 noChangeShapeType="1"/>
        </xdr:cNvSpPr>
      </xdr:nvSpPr>
      <xdr:spPr bwMode="auto">
        <a:xfrm>
          <a:off x="116547" y="1129730"/>
          <a:ext cx="760334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19050</xdr:colOff>
          <xdr:row>5</xdr:row>
          <xdr:rowOff>12700</xdr:rowOff>
        </xdr:from>
        <xdr:to>
          <xdr:col>8</xdr:col>
          <xdr:colOff>558800</xdr:colOff>
          <xdr:row>7</xdr:row>
          <xdr:rowOff>12700</xdr:rowOff>
        </xdr:to>
        <xdr:sp macro="" textlink="">
          <xdr:nvSpPr>
            <xdr:cNvPr id="6145" name="Spinner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0</xdr:col>
      <xdr:colOff>185507</xdr:colOff>
      <xdr:row>0</xdr:row>
      <xdr:rowOff>92753</xdr:rowOff>
    </xdr:from>
    <xdr:to>
      <xdr:col>1</xdr:col>
      <xdr:colOff>311108</xdr:colOff>
      <xdr:row>3</xdr:row>
      <xdr:rowOff>171381</xdr:rowOff>
    </xdr:to>
    <xdr:pic>
      <xdr:nvPicPr>
        <xdr:cNvPr id="4" name="Picture 2" descr="Bitmap in LOGO SBD">
          <a:extLst>
            <a:ext uri="{FF2B5EF4-FFF2-40B4-BE49-F238E27FC236}">
              <a16:creationId xmlns:a16="http://schemas.microsoft.com/office/drawing/2014/main" id="{98C2FF7B-2356-44EB-AABC-41094445C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85507" y="92753"/>
          <a:ext cx="767736" cy="735032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E13A7-4F21-44B1-B6BE-6999358B627E}">
  <dimension ref="A1:P159"/>
  <sheetViews>
    <sheetView topLeftCell="F2" zoomScale="68" zoomScaleNormal="85" workbookViewId="0">
      <selection sqref="A1:A8"/>
    </sheetView>
  </sheetViews>
  <sheetFormatPr defaultRowHeight="14.5" x14ac:dyDescent="0.35"/>
  <cols>
    <col min="1" max="1" width="3" customWidth="1"/>
    <col min="2" max="2" width="4.1796875" style="54" customWidth="1"/>
    <col min="3" max="3" width="24.08984375" customWidth="1"/>
    <col min="4" max="4" width="16.36328125" bestFit="1" customWidth="1"/>
    <col min="5" max="5" width="28.54296875" bestFit="1" customWidth="1"/>
    <col min="6" max="6" width="23.1796875" customWidth="1"/>
    <col min="7" max="7" width="20.7265625" bestFit="1" customWidth="1"/>
    <col min="8" max="8" width="38.7265625" customWidth="1"/>
    <col min="9" max="9" width="19.26953125" customWidth="1"/>
    <col min="10" max="10" width="24" customWidth="1"/>
    <col min="11" max="11" width="15" bestFit="1" customWidth="1"/>
    <col min="12" max="12" width="8.36328125" bestFit="1" customWidth="1"/>
    <col min="13" max="14" width="14.81640625" bestFit="1" customWidth="1"/>
    <col min="15" max="15" width="21.26953125" customWidth="1"/>
    <col min="16" max="16" width="3.1796875" customWidth="1"/>
  </cols>
  <sheetData>
    <row r="1" spans="1:16" ht="15" thickBot="1" x14ac:dyDescent="0.4">
      <c r="A1" s="134"/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7"/>
    </row>
    <row r="2" spans="1:16" x14ac:dyDescent="0.35">
      <c r="A2" s="135"/>
      <c r="B2" s="69"/>
      <c r="C2" s="64" t="s">
        <v>42</v>
      </c>
      <c r="D2" s="63" t="s">
        <v>127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9"/>
      <c r="P2" s="56"/>
    </row>
    <row r="3" spans="1:16" x14ac:dyDescent="0.35">
      <c r="A3" s="135"/>
      <c r="B3" s="70"/>
      <c r="C3" s="65" t="s">
        <v>43</v>
      </c>
      <c r="D3" t="s">
        <v>128</v>
      </c>
      <c r="E3" s="55"/>
      <c r="F3" s="55"/>
      <c r="G3" s="55"/>
      <c r="H3" s="55"/>
      <c r="I3" s="55"/>
      <c r="J3" s="55"/>
      <c r="K3" s="55"/>
      <c r="L3" s="55"/>
      <c r="M3" s="55"/>
      <c r="N3" s="55"/>
      <c r="O3" s="62"/>
      <c r="P3" s="56"/>
    </row>
    <row r="4" spans="1:16" x14ac:dyDescent="0.35">
      <c r="A4" s="135"/>
      <c r="B4" s="70"/>
      <c r="C4" s="65"/>
      <c r="E4" s="55"/>
      <c r="F4" s="55"/>
      <c r="G4" s="55"/>
      <c r="H4" s="55"/>
      <c r="I4" s="55"/>
      <c r="J4" s="55"/>
      <c r="K4" s="55"/>
      <c r="L4" s="55"/>
      <c r="M4" s="55"/>
      <c r="N4" s="55"/>
      <c r="O4" s="62"/>
      <c r="P4" s="56"/>
    </row>
    <row r="5" spans="1:16" x14ac:dyDescent="0.35">
      <c r="A5" s="135"/>
      <c r="B5" s="70"/>
      <c r="C5" s="65" t="s">
        <v>44</v>
      </c>
      <c r="D5" t="s">
        <v>131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62"/>
      <c r="P5" s="56"/>
    </row>
    <row r="6" spans="1:16" x14ac:dyDescent="0.35">
      <c r="A6" s="135"/>
      <c r="B6" s="70"/>
      <c r="C6" s="65" t="s">
        <v>45</v>
      </c>
      <c r="D6" s="68">
        <v>87261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62"/>
      <c r="P6" s="56"/>
    </row>
    <row r="7" spans="1:16" x14ac:dyDescent="0.35">
      <c r="A7" s="135"/>
      <c r="B7" s="70"/>
      <c r="C7" s="65" t="s">
        <v>129</v>
      </c>
      <c r="D7" t="s">
        <v>55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62"/>
      <c r="P7" s="56"/>
    </row>
    <row r="8" spans="1:16" ht="15" thickBot="1" x14ac:dyDescent="0.4">
      <c r="A8" s="135"/>
      <c r="B8" s="71"/>
      <c r="C8" s="66" t="s">
        <v>46</v>
      </c>
      <c r="D8" s="67" t="s">
        <v>80</v>
      </c>
      <c r="E8" s="60"/>
      <c r="F8" s="60"/>
      <c r="G8" s="60"/>
      <c r="H8" s="60"/>
      <c r="I8" s="60"/>
      <c r="J8" s="60"/>
      <c r="K8" s="60"/>
      <c r="L8" s="60"/>
      <c r="M8" s="60"/>
      <c r="N8" s="60"/>
      <c r="O8" s="61"/>
      <c r="P8" s="57"/>
    </row>
    <row r="9" spans="1:16" ht="15.5" x14ac:dyDescent="0.35">
      <c r="A9" s="3"/>
      <c r="B9" s="4" t="s">
        <v>2</v>
      </c>
      <c r="C9" s="19" t="s">
        <v>32</v>
      </c>
      <c r="D9" s="19" t="s">
        <v>33</v>
      </c>
      <c r="E9" s="5" t="s">
        <v>79</v>
      </c>
      <c r="F9" s="5" t="s">
        <v>1</v>
      </c>
      <c r="G9" s="5" t="s">
        <v>113</v>
      </c>
      <c r="H9" s="5" t="s">
        <v>112</v>
      </c>
      <c r="I9" s="5" t="s">
        <v>15</v>
      </c>
      <c r="J9" s="5" t="s">
        <v>9</v>
      </c>
      <c r="K9" s="5" t="s">
        <v>10</v>
      </c>
      <c r="L9" s="5" t="s">
        <v>11</v>
      </c>
      <c r="M9" s="5" t="s">
        <v>12</v>
      </c>
      <c r="N9" s="6" t="s">
        <v>13</v>
      </c>
      <c r="O9" s="6" t="s">
        <v>14</v>
      </c>
      <c r="P9" s="132"/>
    </row>
    <row r="10" spans="1:16" x14ac:dyDescent="0.35">
      <c r="A10" s="3"/>
      <c r="B10" s="72">
        <v>1</v>
      </c>
      <c r="C10" s="20" t="s">
        <v>54</v>
      </c>
      <c r="D10" s="49" t="s">
        <v>36</v>
      </c>
      <c r="E10" s="7" t="s">
        <v>55</v>
      </c>
      <c r="F10" s="7" t="s">
        <v>80</v>
      </c>
      <c r="G10" s="7" t="s">
        <v>104</v>
      </c>
      <c r="H10" s="7" t="s">
        <v>114</v>
      </c>
      <c r="I10" s="7" t="s">
        <v>134</v>
      </c>
      <c r="J10" s="7" t="s">
        <v>137</v>
      </c>
      <c r="K10" s="7" t="s">
        <v>34</v>
      </c>
      <c r="L10" s="7" t="s">
        <v>35</v>
      </c>
      <c r="M10" s="74" t="str">
        <f>D10</f>
        <v>16 Januari 2024</v>
      </c>
      <c r="N10" s="75" t="str">
        <f>D10</f>
        <v>16 Januari 2024</v>
      </c>
      <c r="O10" s="18" t="s">
        <v>130</v>
      </c>
      <c r="P10" s="132"/>
    </row>
    <row r="11" spans="1:16" x14ac:dyDescent="0.35">
      <c r="A11" s="3"/>
      <c r="B11" s="72">
        <v>2</v>
      </c>
      <c r="C11" s="20"/>
      <c r="D11" s="49"/>
      <c r="E11" s="7" t="s">
        <v>56</v>
      </c>
      <c r="F11" s="7" t="s">
        <v>81</v>
      </c>
      <c r="G11" s="7" t="s">
        <v>105</v>
      </c>
      <c r="H11" s="7" t="s">
        <v>115</v>
      </c>
      <c r="I11" s="7" t="s">
        <v>134</v>
      </c>
      <c r="J11" s="7" t="s">
        <v>138</v>
      </c>
      <c r="K11" s="7" t="s">
        <v>34</v>
      </c>
      <c r="L11" s="7"/>
      <c r="M11" s="74">
        <f>D11</f>
        <v>0</v>
      </c>
      <c r="N11" s="75">
        <f t="shared" ref="N11:N74" si="0">D11</f>
        <v>0</v>
      </c>
      <c r="O11" s="18"/>
      <c r="P11" s="132"/>
    </row>
    <row r="12" spans="1:16" x14ac:dyDescent="0.35">
      <c r="A12" s="3"/>
      <c r="B12" s="72">
        <v>3</v>
      </c>
      <c r="C12" s="20"/>
      <c r="D12" s="49"/>
      <c r="E12" s="7" t="s">
        <v>57</v>
      </c>
      <c r="F12" s="7" t="s">
        <v>82</v>
      </c>
      <c r="G12" s="7" t="s">
        <v>106</v>
      </c>
      <c r="H12" s="7" t="s">
        <v>116</v>
      </c>
      <c r="I12" s="7" t="s">
        <v>134</v>
      </c>
      <c r="J12" s="7" t="s">
        <v>139</v>
      </c>
      <c r="K12" s="7" t="s">
        <v>34</v>
      </c>
      <c r="L12" s="7"/>
      <c r="M12" s="74">
        <f t="shared" ref="M12:M74" si="1">D12</f>
        <v>0</v>
      </c>
      <c r="N12" s="75">
        <f t="shared" si="0"/>
        <v>0</v>
      </c>
      <c r="O12" s="18"/>
      <c r="P12" s="132"/>
    </row>
    <row r="13" spans="1:16" x14ac:dyDescent="0.35">
      <c r="A13" s="3"/>
      <c r="B13" s="72">
        <v>4</v>
      </c>
      <c r="C13" s="20"/>
      <c r="D13" s="49"/>
      <c r="E13" s="7" t="s">
        <v>58</v>
      </c>
      <c r="F13" s="7" t="s">
        <v>83</v>
      </c>
      <c r="G13" s="7" t="s">
        <v>106</v>
      </c>
      <c r="H13" s="7" t="s">
        <v>117</v>
      </c>
      <c r="I13" s="7" t="s">
        <v>134</v>
      </c>
      <c r="J13" s="7" t="s">
        <v>140</v>
      </c>
      <c r="K13" s="7" t="s">
        <v>34</v>
      </c>
      <c r="L13" s="7"/>
      <c r="M13" s="74">
        <f t="shared" si="1"/>
        <v>0</v>
      </c>
      <c r="N13" s="75">
        <f t="shared" si="0"/>
        <v>0</v>
      </c>
      <c r="O13" s="18"/>
      <c r="P13" s="132"/>
    </row>
    <row r="14" spans="1:16" x14ac:dyDescent="0.35">
      <c r="A14" s="3"/>
      <c r="B14" s="72">
        <v>5</v>
      </c>
      <c r="C14" s="20"/>
      <c r="D14" s="49"/>
      <c r="E14" s="7" t="s">
        <v>59</v>
      </c>
      <c r="F14" s="7" t="s">
        <v>84</v>
      </c>
      <c r="G14" s="7" t="s">
        <v>106</v>
      </c>
      <c r="H14" s="7" t="s">
        <v>118</v>
      </c>
      <c r="I14" s="7" t="s">
        <v>134</v>
      </c>
      <c r="J14" s="7" t="s">
        <v>137</v>
      </c>
      <c r="K14" s="7" t="s">
        <v>34</v>
      </c>
      <c r="L14" s="7"/>
      <c r="M14" s="74">
        <f t="shared" si="1"/>
        <v>0</v>
      </c>
      <c r="N14" s="75">
        <f t="shared" si="0"/>
        <v>0</v>
      </c>
      <c r="O14" s="18"/>
      <c r="P14" s="132"/>
    </row>
    <row r="15" spans="1:16" x14ac:dyDescent="0.35">
      <c r="A15" s="3"/>
      <c r="B15" s="72">
        <v>6</v>
      </c>
      <c r="C15" s="20"/>
      <c r="D15" s="49"/>
      <c r="E15" s="7" t="s">
        <v>60</v>
      </c>
      <c r="F15" s="7" t="s">
        <v>85</v>
      </c>
      <c r="G15" s="7" t="s">
        <v>107</v>
      </c>
      <c r="H15" s="7" t="s">
        <v>119</v>
      </c>
      <c r="I15" s="7" t="s">
        <v>134</v>
      </c>
      <c r="J15" s="7" t="s">
        <v>138</v>
      </c>
      <c r="K15" s="7" t="s">
        <v>34</v>
      </c>
      <c r="L15" s="7"/>
      <c r="M15" s="74">
        <f t="shared" si="1"/>
        <v>0</v>
      </c>
      <c r="N15" s="75">
        <f t="shared" si="0"/>
        <v>0</v>
      </c>
      <c r="O15" s="18"/>
      <c r="P15" s="132"/>
    </row>
    <row r="16" spans="1:16" x14ac:dyDescent="0.35">
      <c r="A16" s="3"/>
      <c r="B16" s="72">
        <v>7</v>
      </c>
      <c r="C16" s="20"/>
      <c r="D16" s="49"/>
      <c r="E16" s="7" t="s">
        <v>61</v>
      </c>
      <c r="F16" s="7" t="s">
        <v>86</v>
      </c>
      <c r="G16" s="7" t="s">
        <v>108</v>
      </c>
      <c r="H16" s="7" t="s">
        <v>120</v>
      </c>
      <c r="I16" s="7" t="s">
        <v>134</v>
      </c>
      <c r="J16" s="7" t="s">
        <v>139</v>
      </c>
      <c r="K16" s="7" t="s">
        <v>34</v>
      </c>
      <c r="L16" s="7"/>
      <c r="M16" s="74">
        <f t="shared" si="1"/>
        <v>0</v>
      </c>
      <c r="N16" s="75">
        <f t="shared" si="0"/>
        <v>0</v>
      </c>
      <c r="O16" s="18"/>
      <c r="P16" s="132"/>
    </row>
    <row r="17" spans="1:16" x14ac:dyDescent="0.35">
      <c r="A17" s="3"/>
      <c r="B17" s="72">
        <v>8</v>
      </c>
      <c r="C17" s="20"/>
      <c r="D17" s="49"/>
      <c r="E17" s="7" t="s">
        <v>62</v>
      </c>
      <c r="F17" s="7" t="s">
        <v>87</v>
      </c>
      <c r="G17" s="7" t="s">
        <v>108</v>
      </c>
      <c r="H17" s="7" t="s">
        <v>120</v>
      </c>
      <c r="I17" s="7" t="s">
        <v>134</v>
      </c>
      <c r="J17" s="7" t="s">
        <v>140</v>
      </c>
      <c r="K17" s="7" t="s">
        <v>34</v>
      </c>
      <c r="L17" s="7"/>
      <c r="M17" s="74">
        <f t="shared" si="1"/>
        <v>0</v>
      </c>
      <c r="N17" s="75">
        <f t="shared" si="0"/>
        <v>0</v>
      </c>
      <c r="O17" s="18"/>
      <c r="P17" s="132"/>
    </row>
    <row r="18" spans="1:16" x14ac:dyDescent="0.35">
      <c r="A18" s="3"/>
      <c r="B18" s="72">
        <v>9</v>
      </c>
      <c r="C18" s="20"/>
      <c r="D18" s="49"/>
      <c r="E18" s="7" t="s">
        <v>63</v>
      </c>
      <c r="F18" s="7" t="s">
        <v>88</v>
      </c>
      <c r="G18" s="7" t="s">
        <v>109</v>
      </c>
      <c r="H18" s="7" t="s">
        <v>120</v>
      </c>
      <c r="I18" s="7" t="s">
        <v>134</v>
      </c>
      <c r="J18" s="7" t="s">
        <v>137</v>
      </c>
      <c r="K18" s="7" t="s">
        <v>34</v>
      </c>
      <c r="L18" s="7"/>
      <c r="M18" s="74">
        <f t="shared" si="1"/>
        <v>0</v>
      </c>
      <c r="N18" s="75">
        <f t="shared" si="0"/>
        <v>0</v>
      </c>
      <c r="O18" s="18"/>
      <c r="P18" s="132"/>
    </row>
    <row r="19" spans="1:16" x14ac:dyDescent="0.35">
      <c r="A19" s="3"/>
      <c r="B19" s="72">
        <v>10</v>
      </c>
      <c r="C19" s="20"/>
      <c r="D19" s="49"/>
      <c r="E19" s="7" t="s">
        <v>64</v>
      </c>
      <c r="F19" s="7" t="s">
        <v>89</v>
      </c>
      <c r="G19" s="7" t="s">
        <v>109</v>
      </c>
      <c r="H19" s="7" t="s">
        <v>121</v>
      </c>
      <c r="I19" s="7" t="s">
        <v>134</v>
      </c>
      <c r="J19" s="7" t="s">
        <v>138</v>
      </c>
      <c r="K19" s="7" t="s">
        <v>34</v>
      </c>
      <c r="L19" s="7"/>
      <c r="M19" s="74">
        <f t="shared" si="1"/>
        <v>0</v>
      </c>
      <c r="N19" s="75">
        <f t="shared" si="0"/>
        <v>0</v>
      </c>
      <c r="O19" s="18"/>
      <c r="P19" s="132"/>
    </row>
    <row r="20" spans="1:16" x14ac:dyDescent="0.35">
      <c r="A20" s="3"/>
      <c r="B20" s="72">
        <v>11</v>
      </c>
      <c r="C20" s="20"/>
      <c r="D20" s="49"/>
      <c r="E20" s="76" t="s">
        <v>65</v>
      </c>
      <c r="F20" s="7" t="s">
        <v>90</v>
      </c>
      <c r="G20" s="7" t="s">
        <v>107</v>
      </c>
      <c r="H20" s="7" t="s">
        <v>120</v>
      </c>
      <c r="I20" s="7" t="s">
        <v>134</v>
      </c>
      <c r="J20" s="7" t="s">
        <v>139</v>
      </c>
      <c r="K20" s="7" t="s">
        <v>34</v>
      </c>
      <c r="L20" s="7"/>
      <c r="M20" s="74">
        <f t="shared" si="1"/>
        <v>0</v>
      </c>
      <c r="N20" s="75">
        <f t="shared" si="0"/>
        <v>0</v>
      </c>
      <c r="O20" s="18"/>
      <c r="P20" s="132"/>
    </row>
    <row r="21" spans="1:16" x14ac:dyDescent="0.35">
      <c r="A21" s="3"/>
      <c r="B21" s="72">
        <v>12</v>
      </c>
      <c r="C21" s="20"/>
      <c r="D21" s="49"/>
      <c r="E21" s="7" t="s">
        <v>66</v>
      </c>
      <c r="F21" s="7" t="s">
        <v>91</v>
      </c>
      <c r="G21" s="7" t="s">
        <v>109</v>
      </c>
      <c r="H21" s="7" t="s">
        <v>120</v>
      </c>
      <c r="I21" s="7" t="s">
        <v>134</v>
      </c>
      <c r="J21" s="7" t="s">
        <v>140</v>
      </c>
      <c r="K21" s="7" t="s">
        <v>34</v>
      </c>
      <c r="L21" s="7"/>
      <c r="M21" s="74">
        <f t="shared" si="1"/>
        <v>0</v>
      </c>
      <c r="N21" s="75">
        <f t="shared" si="0"/>
        <v>0</v>
      </c>
      <c r="O21" s="18"/>
      <c r="P21" s="132"/>
    </row>
    <row r="22" spans="1:16" x14ac:dyDescent="0.35">
      <c r="A22" s="3"/>
      <c r="B22" s="72">
        <v>13</v>
      </c>
      <c r="C22" s="20"/>
      <c r="D22" s="49"/>
      <c r="E22" s="7" t="s">
        <v>67</v>
      </c>
      <c r="F22" s="7" t="s">
        <v>92</v>
      </c>
      <c r="G22" s="7" t="s">
        <v>109</v>
      </c>
      <c r="H22" s="7" t="s">
        <v>122</v>
      </c>
      <c r="I22" s="7" t="s">
        <v>134</v>
      </c>
      <c r="J22" s="7" t="s">
        <v>137</v>
      </c>
      <c r="K22" s="7" t="s">
        <v>34</v>
      </c>
      <c r="L22" s="7"/>
      <c r="M22" s="74">
        <f t="shared" si="1"/>
        <v>0</v>
      </c>
      <c r="N22" s="75">
        <f t="shared" si="0"/>
        <v>0</v>
      </c>
      <c r="O22" s="18"/>
      <c r="P22" s="132"/>
    </row>
    <row r="23" spans="1:16" x14ac:dyDescent="0.35">
      <c r="A23" s="3"/>
      <c r="B23" s="72">
        <v>14</v>
      </c>
      <c r="C23" s="20"/>
      <c r="D23" s="49"/>
      <c r="E23" s="7" t="s">
        <v>68</v>
      </c>
      <c r="F23" s="7" t="s">
        <v>93</v>
      </c>
      <c r="G23" s="7" t="s">
        <v>109</v>
      </c>
      <c r="H23" s="7" t="s">
        <v>120</v>
      </c>
      <c r="I23" s="7" t="s">
        <v>134</v>
      </c>
      <c r="J23" s="7" t="s">
        <v>138</v>
      </c>
      <c r="K23" s="7" t="s">
        <v>34</v>
      </c>
      <c r="L23" s="7"/>
      <c r="M23" s="74">
        <f t="shared" si="1"/>
        <v>0</v>
      </c>
      <c r="N23" s="75">
        <f t="shared" si="0"/>
        <v>0</v>
      </c>
      <c r="O23" s="18"/>
      <c r="P23" s="132"/>
    </row>
    <row r="24" spans="1:16" x14ac:dyDescent="0.35">
      <c r="A24" s="3"/>
      <c r="B24" s="72">
        <v>15</v>
      </c>
      <c r="C24" s="20"/>
      <c r="D24" s="49"/>
      <c r="E24" s="7" t="s">
        <v>69</v>
      </c>
      <c r="F24" s="7" t="s">
        <v>94</v>
      </c>
      <c r="G24" s="7" t="s">
        <v>109</v>
      </c>
      <c r="H24" s="7" t="s">
        <v>120</v>
      </c>
      <c r="I24" s="7" t="s">
        <v>134</v>
      </c>
      <c r="J24" s="7" t="s">
        <v>139</v>
      </c>
      <c r="K24" s="7" t="s">
        <v>34</v>
      </c>
      <c r="L24" s="7"/>
      <c r="M24" s="74">
        <f t="shared" si="1"/>
        <v>0</v>
      </c>
      <c r="N24" s="75">
        <f t="shared" si="0"/>
        <v>0</v>
      </c>
      <c r="O24" s="18"/>
      <c r="P24" s="132"/>
    </row>
    <row r="25" spans="1:16" x14ac:dyDescent="0.35">
      <c r="A25" s="3"/>
      <c r="B25" s="72">
        <v>16</v>
      </c>
      <c r="C25" s="20"/>
      <c r="D25" s="49"/>
      <c r="E25" s="7" t="s">
        <v>70</v>
      </c>
      <c r="F25" s="7" t="s">
        <v>95</v>
      </c>
      <c r="G25" s="7" t="s">
        <v>107</v>
      </c>
      <c r="H25" s="7" t="s">
        <v>120</v>
      </c>
      <c r="I25" s="7" t="s">
        <v>134</v>
      </c>
      <c r="J25" s="7" t="s">
        <v>140</v>
      </c>
      <c r="K25" s="7" t="s">
        <v>34</v>
      </c>
      <c r="L25" s="7"/>
      <c r="M25" s="74">
        <f t="shared" si="1"/>
        <v>0</v>
      </c>
      <c r="N25" s="75">
        <f t="shared" si="0"/>
        <v>0</v>
      </c>
      <c r="O25" s="18"/>
      <c r="P25" s="132"/>
    </row>
    <row r="26" spans="1:16" x14ac:dyDescent="0.35">
      <c r="A26" s="3"/>
      <c r="B26" s="72">
        <v>17</v>
      </c>
      <c r="C26" s="20"/>
      <c r="D26" s="49"/>
      <c r="E26" s="7" t="s">
        <v>71</v>
      </c>
      <c r="F26" s="7" t="s">
        <v>96</v>
      </c>
      <c r="G26" s="7" t="s">
        <v>108</v>
      </c>
      <c r="H26" s="7" t="s">
        <v>123</v>
      </c>
      <c r="I26" s="7" t="s">
        <v>134</v>
      </c>
      <c r="J26" s="7" t="s">
        <v>137</v>
      </c>
      <c r="K26" s="7" t="s">
        <v>34</v>
      </c>
      <c r="L26" s="7"/>
      <c r="M26" s="74">
        <f t="shared" si="1"/>
        <v>0</v>
      </c>
      <c r="N26" s="75">
        <f t="shared" si="0"/>
        <v>0</v>
      </c>
      <c r="O26" s="18"/>
      <c r="P26" s="132"/>
    </row>
    <row r="27" spans="1:16" x14ac:dyDescent="0.35">
      <c r="A27" s="3"/>
      <c r="B27" s="72">
        <v>18</v>
      </c>
      <c r="C27" s="20"/>
      <c r="D27" s="49"/>
      <c r="E27" s="7" t="s">
        <v>72</v>
      </c>
      <c r="F27" s="7" t="s">
        <v>97</v>
      </c>
      <c r="G27" s="7" t="s">
        <v>108</v>
      </c>
      <c r="H27" s="7" t="s">
        <v>120</v>
      </c>
      <c r="I27" s="7" t="s">
        <v>134</v>
      </c>
      <c r="J27" s="7" t="s">
        <v>138</v>
      </c>
      <c r="K27" s="7" t="s">
        <v>34</v>
      </c>
      <c r="L27" s="7"/>
      <c r="M27" s="74">
        <f t="shared" si="1"/>
        <v>0</v>
      </c>
      <c r="N27" s="75">
        <f t="shared" si="0"/>
        <v>0</v>
      </c>
      <c r="O27" s="18"/>
      <c r="P27" s="132"/>
    </row>
    <row r="28" spans="1:16" x14ac:dyDescent="0.35">
      <c r="A28" s="3"/>
      <c r="B28" s="72">
        <v>19</v>
      </c>
      <c r="C28" s="20"/>
      <c r="D28" s="49"/>
      <c r="E28" s="7" t="s">
        <v>73</v>
      </c>
      <c r="F28" s="7" t="s">
        <v>98</v>
      </c>
      <c r="G28" s="7" t="s">
        <v>108</v>
      </c>
      <c r="H28" s="7" t="s">
        <v>124</v>
      </c>
      <c r="I28" s="7" t="s">
        <v>134</v>
      </c>
      <c r="J28" s="7" t="s">
        <v>139</v>
      </c>
      <c r="K28" s="7" t="s">
        <v>34</v>
      </c>
      <c r="L28" s="7"/>
      <c r="M28" s="74">
        <f t="shared" si="1"/>
        <v>0</v>
      </c>
      <c r="N28" s="75">
        <f t="shared" si="0"/>
        <v>0</v>
      </c>
      <c r="O28" s="18"/>
      <c r="P28" s="132"/>
    </row>
    <row r="29" spans="1:16" x14ac:dyDescent="0.35">
      <c r="A29" s="3"/>
      <c r="B29" s="72">
        <v>20</v>
      </c>
      <c r="C29" s="20"/>
      <c r="D29" s="49"/>
      <c r="E29" s="7" t="s">
        <v>74</v>
      </c>
      <c r="F29" s="7" t="s">
        <v>99</v>
      </c>
      <c r="G29" s="7" t="s">
        <v>108</v>
      </c>
      <c r="H29" s="7" t="s">
        <v>124</v>
      </c>
      <c r="I29" s="7" t="s">
        <v>134</v>
      </c>
      <c r="J29" s="7" t="s">
        <v>140</v>
      </c>
      <c r="K29" s="7" t="s">
        <v>34</v>
      </c>
      <c r="L29" s="7"/>
      <c r="M29" s="74">
        <f t="shared" si="1"/>
        <v>0</v>
      </c>
      <c r="N29" s="75">
        <f t="shared" si="0"/>
        <v>0</v>
      </c>
      <c r="O29" s="18"/>
      <c r="P29" s="132"/>
    </row>
    <row r="30" spans="1:16" x14ac:dyDescent="0.35">
      <c r="A30" s="3"/>
      <c r="B30" s="72">
        <v>21</v>
      </c>
      <c r="C30" s="20"/>
      <c r="D30" s="49"/>
      <c r="E30" s="7" t="s">
        <v>75</v>
      </c>
      <c r="F30" s="7" t="s">
        <v>100</v>
      </c>
      <c r="G30" s="7" t="s">
        <v>108</v>
      </c>
      <c r="H30" s="7" t="s">
        <v>124</v>
      </c>
      <c r="I30" s="7" t="s">
        <v>134</v>
      </c>
      <c r="J30" s="7" t="s">
        <v>137</v>
      </c>
      <c r="K30" s="7" t="s">
        <v>34</v>
      </c>
      <c r="L30" s="7"/>
      <c r="M30" s="74">
        <f t="shared" si="1"/>
        <v>0</v>
      </c>
      <c r="N30" s="75">
        <f t="shared" si="0"/>
        <v>0</v>
      </c>
      <c r="O30" s="18"/>
      <c r="P30" s="132"/>
    </row>
    <row r="31" spans="1:16" x14ac:dyDescent="0.35">
      <c r="A31" s="3"/>
      <c r="B31" s="72">
        <v>22</v>
      </c>
      <c r="C31" s="20"/>
      <c r="D31" s="49"/>
      <c r="E31" s="7" t="s">
        <v>76</v>
      </c>
      <c r="F31" s="7" t="s">
        <v>101</v>
      </c>
      <c r="G31" s="7" t="s">
        <v>110</v>
      </c>
      <c r="H31" s="7" t="s">
        <v>125</v>
      </c>
      <c r="I31" s="7" t="s">
        <v>134</v>
      </c>
      <c r="J31" s="7" t="s">
        <v>138</v>
      </c>
      <c r="K31" s="7" t="s">
        <v>34</v>
      </c>
      <c r="L31" s="7"/>
      <c r="M31" s="74">
        <f t="shared" si="1"/>
        <v>0</v>
      </c>
      <c r="N31" s="75">
        <f t="shared" si="0"/>
        <v>0</v>
      </c>
      <c r="O31" s="18"/>
      <c r="P31" s="132"/>
    </row>
    <row r="32" spans="1:16" x14ac:dyDescent="0.35">
      <c r="A32" s="3"/>
      <c r="B32" s="72">
        <v>23</v>
      </c>
      <c r="C32" s="20"/>
      <c r="D32" s="49"/>
      <c r="E32" s="7" t="s">
        <v>77</v>
      </c>
      <c r="F32" s="7" t="s">
        <v>102</v>
      </c>
      <c r="G32" s="7" t="s">
        <v>110</v>
      </c>
      <c r="H32" s="7" t="s">
        <v>126</v>
      </c>
      <c r="I32" s="7" t="s">
        <v>134</v>
      </c>
      <c r="J32" s="7" t="s">
        <v>139</v>
      </c>
      <c r="K32" s="7" t="s">
        <v>34</v>
      </c>
      <c r="L32" s="7"/>
      <c r="M32" s="74">
        <f t="shared" si="1"/>
        <v>0</v>
      </c>
      <c r="N32" s="75">
        <f t="shared" si="0"/>
        <v>0</v>
      </c>
      <c r="O32" s="18"/>
      <c r="P32" s="132"/>
    </row>
    <row r="33" spans="1:16" x14ac:dyDescent="0.35">
      <c r="A33" s="3"/>
      <c r="B33" s="72">
        <v>24</v>
      </c>
      <c r="C33" s="20"/>
      <c r="D33" s="49"/>
      <c r="E33" s="7" t="s">
        <v>78</v>
      </c>
      <c r="F33" s="7" t="s">
        <v>103</v>
      </c>
      <c r="G33" s="7" t="s">
        <v>111</v>
      </c>
      <c r="H33" s="7" t="s">
        <v>124</v>
      </c>
      <c r="I33" s="7" t="s">
        <v>134</v>
      </c>
      <c r="J33" s="7" t="s">
        <v>140</v>
      </c>
      <c r="K33" s="7" t="s">
        <v>34</v>
      </c>
      <c r="L33" s="7"/>
      <c r="M33" s="74">
        <f t="shared" si="1"/>
        <v>0</v>
      </c>
      <c r="N33" s="75">
        <f t="shared" si="0"/>
        <v>0</v>
      </c>
      <c r="O33" s="18"/>
      <c r="P33" s="132"/>
    </row>
    <row r="34" spans="1:16" x14ac:dyDescent="0.35">
      <c r="A34" s="3"/>
      <c r="B34" s="72">
        <v>25</v>
      </c>
      <c r="C34" s="20"/>
      <c r="D34" s="49"/>
      <c r="E34" s="7"/>
      <c r="F34" s="48"/>
      <c r="G34" s="48"/>
      <c r="H34" s="7"/>
      <c r="I34" s="7"/>
      <c r="J34" s="7"/>
      <c r="K34" s="7"/>
      <c r="L34" s="7"/>
      <c r="M34" s="74">
        <f t="shared" si="1"/>
        <v>0</v>
      </c>
      <c r="N34" s="75">
        <f t="shared" si="0"/>
        <v>0</v>
      </c>
      <c r="O34" s="18"/>
      <c r="P34" s="132"/>
    </row>
    <row r="35" spans="1:16" x14ac:dyDescent="0.35">
      <c r="A35" s="3"/>
      <c r="B35" s="72">
        <v>26</v>
      </c>
      <c r="C35" s="20"/>
      <c r="D35" s="49"/>
      <c r="E35" s="7"/>
      <c r="F35" s="48"/>
      <c r="G35" s="48"/>
      <c r="H35" s="7"/>
      <c r="I35" s="7"/>
      <c r="J35" s="7"/>
      <c r="K35" s="7"/>
      <c r="L35" s="7"/>
      <c r="M35" s="74">
        <f t="shared" si="1"/>
        <v>0</v>
      </c>
      <c r="N35" s="75">
        <f t="shared" si="0"/>
        <v>0</v>
      </c>
      <c r="O35" s="18"/>
      <c r="P35" s="132"/>
    </row>
    <row r="36" spans="1:16" x14ac:dyDescent="0.35">
      <c r="A36" s="3"/>
      <c r="B36" s="72">
        <v>27</v>
      </c>
      <c r="C36" s="20"/>
      <c r="D36" s="49"/>
      <c r="E36" s="7"/>
      <c r="F36" s="48"/>
      <c r="G36" s="48"/>
      <c r="H36" s="7"/>
      <c r="I36" s="7"/>
      <c r="J36" s="7"/>
      <c r="K36" s="7"/>
      <c r="L36" s="7"/>
      <c r="M36" s="74">
        <f t="shared" si="1"/>
        <v>0</v>
      </c>
      <c r="N36" s="75">
        <f t="shared" si="0"/>
        <v>0</v>
      </c>
      <c r="O36" s="18"/>
      <c r="P36" s="132"/>
    </row>
    <row r="37" spans="1:16" x14ac:dyDescent="0.35">
      <c r="A37" s="3"/>
      <c r="B37" s="72">
        <v>28</v>
      </c>
      <c r="C37" s="20"/>
      <c r="D37" s="49"/>
      <c r="E37" s="7"/>
      <c r="F37" s="48"/>
      <c r="G37" s="48"/>
      <c r="H37" s="7"/>
      <c r="I37" s="7"/>
      <c r="J37" s="7"/>
      <c r="K37" s="7"/>
      <c r="L37" s="7"/>
      <c r="M37" s="74">
        <f t="shared" si="1"/>
        <v>0</v>
      </c>
      <c r="N37" s="75">
        <f t="shared" si="0"/>
        <v>0</v>
      </c>
      <c r="O37" s="18"/>
      <c r="P37" s="132"/>
    </row>
    <row r="38" spans="1:16" x14ac:dyDescent="0.35">
      <c r="A38" s="3"/>
      <c r="B38" s="72">
        <v>29</v>
      </c>
      <c r="C38" s="20"/>
      <c r="D38" s="49"/>
      <c r="E38" s="7"/>
      <c r="F38" s="48"/>
      <c r="G38" s="48"/>
      <c r="H38" s="7"/>
      <c r="I38" s="7"/>
      <c r="J38" s="7"/>
      <c r="K38" s="7"/>
      <c r="L38" s="7"/>
      <c r="M38" s="74">
        <f t="shared" si="1"/>
        <v>0</v>
      </c>
      <c r="N38" s="75">
        <f t="shared" si="0"/>
        <v>0</v>
      </c>
      <c r="O38" s="18"/>
      <c r="P38" s="132"/>
    </row>
    <row r="39" spans="1:16" x14ac:dyDescent="0.35">
      <c r="A39" s="3"/>
      <c r="B39" s="72">
        <v>30</v>
      </c>
      <c r="C39" s="20"/>
      <c r="D39" s="49"/>
      <c r="E39" s="7"/>
      <c r="F39" s="48"/>
      <c r="G39" s="48"/>
      <c r="H39" s="7"/>
      <c r="I39" s="7"/>
      <c r="J39" s="7"/>
      <c r="K39" s="7"/>
      <c r="L39" s="7"/>
      <c r="M39" s="74">
        <f t="shared" si="1"/>
        <v>0</v>
      </c>
      <c r="N39" s="75">
        <f t="shared" si="0"/>
        <v>0</v>
      </c>
      <c r="O39" s="18"/>
      <c r="P39" s="132"/>
    </row>
    <row r="40" spans="1:16" x14ac:dyDescent="0.35">
      <c r="A40" s="3"/>
      <c r="B40" s="72">
        <v>31</v>
      </c>
      <c r="C40" s="20"/>
      <c r="D40" s="49"/>
      <c r="E40" s="7"/>
      <c r="F40" s="48"/>
      <c r="G40" s="48"/>
      <c r="H40" s="7"/>
      <c r="I40" s="7"/>
      <c r="J40" s="7"/>
      <c r="K40" s="7"/>
      <c r="L40" s="7"/>
      <c r="M40" s="74">
        <f t="shared" si="1"/>
        <v>0</v>
      </c>
      <c r="N40" s="75">
        <f t="shared" si="0"/>
        <v>0</v>
      </c>
      <c r="O40" s="18"/>
      <c r="P40" s="132"/>
    </row>
    <row r="41" spans="1:16" x14ac:dyDescent="0.35">
      <c r="A41" s="3"/>
      <c r="B41" s="72">
        <v>32</v>
      </c>
      <c r="C41" s="20"/>
      <c r="D41" s="49"/>
      <c r="E41" s="7"/>
      <c r="F41" s="48"/>
      <c r="G41" s="48"/>
      <c r="H41" s="7"/>
      <c r="I41" s="7"/>
      <c r="J41" s="7"/>
      <c r="K41" s="7"/>
      <c r="L41" s="7"/>
      <c r="M41" s="74">
        <f t="shared" si="1"/>
        <v>0</v>
      </c>
      <c r="N41" s="75">
        <f t="shared" si="0"/>
        <v>0</v>
      </c>
      <c r="O41" s="18"/>
      <c r="P41" s="132"/>
    </row>
    <row r="42" spans="1:16" x14ac:dyDescent="0.35">
      <c r="A42" s="3"/>
      <c r="B42" s="72">
        <v>33</v>
      </c>
      <c r="C42" s="20"/>
      <c r="D42" s="49"/>
      <c r="E42" s="7"/>
      <c r="F42" s="48"/>
      <c r="G42" s="48"/>
      <c r="H42" s="7"/>
      <c r="I42" s="7"/>
      <c r="J42" s="7"/>
      <c r="K42" s="7"/>
      <c r="L42" s="7"/>
      <c r="M42" s="74">
        <f t="shared" si="1"/>
        <v>0</v>
      </c>
      <c r="N42" s="75">
        <f t="shared" si="0"/>
        <v>0</v>
      </c>
      <c r="O42" s="18"/>
      <c r="P42" s="132"/>
    </row>
    <row r="43" spans="1:16" x14ac:dyDescent="0.35">
      <c r="A43" s="3"/>
      <c r="B43" s="72">
        <v>34</v>
      </c>
      <c r="C43" s="20"/>
      <c r="D43" s="49"/>
      <c r="E43" s="7"/>
      <c r="F43" s="48"/>
      <c r="G43" s="48"/>
      <c r="H43" s="7"/>
      <c r="I43" s="7"/>
      <c r="J43" s="7"/>
      <c r="K43" s="7"/>
      <c r="L43" s="7"/>
      <c r="M43" s="74">
        <f t="shared" si="1"/>
        <v>0</v>
      </c>
      <c r="N43" s="75">
        <f t="shared" si="0"/>
        <v>0</v>
      </c>
      <c r="O43" s="18"/>
      <c r="P43" s="132"/>
    </row>
    <row r="44" spans="1:16" x14ac:dyDescent="0.35">
      <c r="A44" s="3"/>
      <c r="B44" s="72">
        <v>35</v>
      </c>
      <c r="C44" s="20"/>
      <c r="D44" s="49"/>
      <c r="E44" s="7"/>
      <c r="F44" s="48"/>
      <c r="G44" s="48"/>
      <c r="H44" s="7"/>
      <c r="I44" s="7"/>
      <c r="J44" s="7"/>
      <c r="K44" s="7"/>
      <c r="L44" s="7"/>
      <c r="M44" s="74">
        <f t="shared" si="1"/>
        <v>0</v>
      </c>
      <c r="N44" s="75">
        <f t="shared" si="0"/>
        <v>0</v>
      </c>
      <c r="O44" s="18"/>
      <c r="P44" s="132"/>
    </row>
    <row r="45" spans="1:16" x14ac:dyDescent="0.35">
      <c r="A45" s="3"/>
      <c r="B45" s="72">
        <v>36</v>
      </c>
      <c r="C45" s="20"/>
      <c r="D45" s="49"/>
      <c r="E45" s="7"/>
      <c r="F45" s="48"/>
      <c r="G45" s="48"/>
      <c r="H45" s="7"/>
      <c r="I45" s="7"/>
      <c r="J45" s="7"/>
      <c r="K45" s="7"/>
      <c r="L45" s="7"/>
      <c r="M45" s="74">
        <f t="shared" si="1"/>
        <v>0</v>
      </c>
      <c r="N45" s="75">
        <f t="shared" si="0"/>
        <v>0</v>
      </c>
      <c r="O45" s="18"/>
      <c r="P45" s="132"/>
    </row>
    <row r="46" spans="1:16" x14ac:dyDescent="0.35">
      <c r="A46" s="3"/>
      <c r="B46" s="72">
        <v>37</v>
      </c>
      <c r="C46" s="20"/>
      <c r="D46" s="49"/>
      <c r="E46" s="7"/>
      <c r="F46" s="48"/>
      <c r="G46" s="48"/>
      <c r="H46" s="7"/>
      <c r="I46" s="7"/>
      <c r="J46" s="7"/>
      <c r="K46" s="7"/>
      <c r="L46" s="7"/>
      <c r="M46" s="74">
        <f t="shared" si="1"/>
        <v>0</v>
      </c>
      <c r="N46" s="75">
        <f t="shared" si="0"/>
        <v>0</v>
      </c>
      <c r="O46" s="18"/>
      <c r="P46" s="132"/>
    </row>
    <row r="47" spans="1:16" x14ac:dyDescent="0.35">
      <c r="A47" s="3"/>
      <c r="B47" s="72">
        <v>38</v>
      </c>
      <c r="C47" s="20"/>
      <c r="D47" s="49"/>
      <c r="E47" s="7"/>
      <c r="F47" s="48"/>
      <c r="G47" s="48"/>
      <c r="H47" s="7"/>
      <c r="I47" s="7"/>
      <c r="J47" s="7"/>
      <c r="K47" s="7"/>
      <c r="L47" s="7"/>
      <c r="M47" s="74">
        <f t="shared" si="1"/>
        <v>0</v>
      </c>
      <c r="N47" s="75">
        <f t="shared" si="0"/>
        <v>0</v>
      </c>
      <c r="O47" s="18"/>
      <c r="P47" s="132"/>
    </row>
    <row r="48" spans="1:16" x14ac:dyDescent="0.35">
      <c r="A48" s="3"/>
      <c r="B48" s="72">
        <v>39</v>
      </c>
      <c r="C48" s="20"/>
      <c r="D48" s="49"/>
      <c r="E48" s="7"/>
      <c r="F48" s="48"/>
      <c r="G48" s="48"/>
      <c r="H48" s="7"/>
      <c r="I48" s="7"/>
      <c r="J48" s="7"/>
      <c r="K48" s="7"/>
      <c r="L48" s="7"/>
      <c r="M48" s="74">
        <f t="shared" si="1"/>
        <v>0</v>
      </c>
      <c r="N48" s="75">
        <f t="shared" si="0"/>
        <v>0</v>
      </c>
      <c r="O48" s="18"/>
      <c r="P48" s="132"/>
    </row>
    <row r="49" spans="1:16" x14ac:dyDescent="0.35">
      <c r="A49" s="3"/>
      <c r="B49" s="72">
        <v>40</v>
      </c>
      <c r="C49" s="20"/>
      <c r="D49" s="49"/>
      <c r="E49" s="7"/>
      <c r="F49" s="48"/>
      <c r="G49" s="48"/>
      <c r="H49" s="7"/>
      <c r="I49" s="7"/>
      <c r="J49" s="7"/>
      <c r="K49" s="7"/>
      <c r="L49" s="7"/>
      <c r="M49" s="74">
        <f t="shared" si="1"/>
        <v>0</v>
      </c>
      <c r="N49" s="75">
        <f t="shared" si="0"/>
        <v>0</v>
      </c>
      <c r="O49" s="18"/>
      <c r="P49" s="132"/>
    </row>
    <row r="50" spans="1:16" x14ac:dyDescent="0.35">
      <c r="A50" s="3"/>
      <c r="B50" s="72">
        <v>41</v>
      </c>
      <c r="C50" s="20"/>
      <c r="D50" s="49"/>
      <c r="E50" s="7"/>
      <c r="F50" s="48"/>
      <c r="G50" s="48"/>
      <c r="H50" s="7"/>
      <c r="I50" s="7"/>
      <c r="J50" s="7"/>
      <c r="K50" s="7"/>
      <c r="L50" s="7"/>
      <c r="M50" s="74">
        <f t="shared" si="1"/>
        <v>0</v>
      </c>
      <c r="N50" s="75">
        <f t="shared" si="0"/>
        <v>0</v>
      </c>
      <c r="O50" s="18"/>
      <c r="P50" s="132"/>
    </row>
    <row r="51" spans="1:16" x14ac:dyDescent="0.35">
      <c r="A51" s="3"/>
      <c r="B51" s="72">
        <v>42</v>
      </c>
      <c r="C51" s="20"/>
      <c r="D51" s="49"/>
      <c r="E51" s="7"/>
      <c r="F51" s="48"/>
      <c r="G51" s="48"/>
      <c r="H51" s="7"/>
      <c r="I51" s="7"/>
      <c r="J51" s="7"/>
      <c r="K51" s="7"/>
      <c r="L51" s="7"/>
      <c r="M51" s="74">
        <f t="shared" si="1"/>
        <v>0</v>
      </c>
      <c r="N51" s="75">
        <f t="shared" si="0"/>
        <v>0</v>
      </c>
      <c r="O51" s="18"/>
      <c r="P51" s="132"/>
    </row>
    <row r="52" spans="1:16" x14ac:dyDescent="0.35">
      <c r="A52" s="3"/>
      <c r="B52" s="72">
        <v>43</v>
      </c>
      <c r="C52" s="20"/>
      <c r="D52" s="49"/>
      <c r="F52" s="48"/>
      <c r="G52" s="48"/>
      <c r="H52" s="7"/>
      <c r="I52" s="7"/>
      <c r="J52" s="7"/>
      <c r="K52" s="7"/>
      <c r="L52" s="7"/>
      <c r="M52" s="74">
        <f t="shared" si="1"/>
        <v>0</v>
      </c>
      <c r="N52" s="75">
        <f t="shared" si="0"/>
        <v>0</v>
      </c>
      <c r="O52" s="7"/>
      <c r="P52" s="132"/>
    </row>
    <row r="53" spans="1:16" x14ac:dyDescent="0.35">
      <c r="A53" s="3"/>
      <c r="B53" s="72">
        <v>44</v>
      </c>
      <c r="C53" s="20"/>
      <c r="D53" s="49"/>
      <c r="F53" s="48"/>
      <c r="G53" s="48"/>
      <c r="H53" s="7"/>
      <c r="I53" s="7"/>
      <c r="J53" s="7"/>
      <c r="K53" s="7"/>
      <c r="L53" s="7"/>
      <c r="M53" s="74">
        <f t="shared" si="1"/>
        <v>0</v>
      </c>
      <c r="N53" s="75">
        <f t="shared" si="0"/>
        <v>0</v>
      </c>
      <c r="O53" s="7"/>
      <c r="P53" s="132"/>
    </row>
    <row r="54" spans="1:16" x14ac:dyDescent="0.35">
      <c r="A54" s="3"/>
      <c r="B54" s="72">
        <v>45</v>
      </c>
      <c r="C54" s="20"/>
      <c r="D54" s="49"/>
      <c r="E54" s="7"/>
      <c r="F54" s="48"/>
      <c r="G54" s="48"/>
      <c r="H54" s="7"/>
      <c r="I54" s="7"/>
      <c r="J54" s="7"/>
      <c r="K54" s="7"/>
      <c r="L54" s="7"/>
      <c r="M54" s="74">
        <f t="shared" si="1"/>
        <v>0</v>
      </c>
      <c r="N54" s="75">
        <f t="shared" si="0"/>
        <v>0</v>
      </c>
      <c r="O54" s="18"/>
      <c r="P54" s="132"/>
    </row>
    <row r="55" spans="1:16" x14ac:dyDescent="0.35">
      <c r="A55" s="3"/>
      <c r="B55" s="72">
        <v>46</v>
      </c>
      <c r="C55" s="20"/>
      <c r="D55" s="49"/>
      <c r="E55" s="7"/>
      <c r="F55" s="48"/>
      <c r="G55" s="48"/>
      <c r="H55" s="7"/>
      <c r="I55" s="7"/>
      <c r="J55" s="7"/>
      <c r="K55" s="7"/>
      <c r="L55" s="7"/>
      <c r="M55" s="74">
        <f t="shared" si="1"/>
        <v>0</v>
      </c>
      <c r="N55" s="75">
        <f t="shared" si="0"/>
        <v>0</v>
      </c>
      <c r="O55" s="18"/>
      <c r="P55" s="132"/>
    </row>
    <row r="56" spans="1:16" x14ac:dyDescent="0.35">
      <c r="A56" s="3"/>
      <c r="B56" s="72">
        <v>47</v>
      </c>
      <c r="C56" s="20"/>
      <c r="D56" s="49"/>
      <c r="E56" s="7"/>
      <c r="F56" s="48"/>
      <c r="G56" s="48"/>
      <c r="H56" s="7"/>
      <c r="I56" s="7"/>
      <c r="J56" s="7"/>
      <c r="K56" s="7"/>
      <c r="L56" s="7"/>
      <c r="M56" s="74">
        <f t="shared" si="1"/>
        <v>0</v>
      </c>
      <c r="N56" s="75">
        <f t="shared" si="0"/>
        <v>0</v>
      </c>
      <c r="O56" s="18"/>
      <c r="P56" s="132"/>
    </row>
    <row r="57" spans="1:16" x14ac:dyDescent="0.35">
      <c r="A57" s="3"/>
      <c r="B57" s="72">
        <v>48</v>
      </c>
      <c r="C57" s="20"/>
      <c r="D57" s="49"/>
      <c r="E57" s="7"/>
      <c r="F57" s="48"/>
      <c r="G57" s="48"/>
      <c r="H57" s="7"/>
      <c r="I57" s="7"/>
      <c r="J57" s="7"/>
      <c r="K57" s="7"/>
      <c r="L57" s="7"/>
      <c r="M57" s="74">
        <f t="shared" si="1"/>
        <v>0</v>
      </c>
      <c r="N57" s="75">
        <f t="shared" si="0"/>
        <v>0</v>
      </c>
      <c r="O57" s="18"/>
      <c r="P57" s="132"/>
    </row>
    <row r="58" spans="1:16" x14ac:dyDescent="0.35">
      <c r="A58" s="3"/>
      <c r="B58" s="72">
        <v>49</v>
      </c>
      <c r="C58" s="20"/>
      <c r="D58" s="49"/>
      <c r="E58" s="7"/>
      <c r="F58" s="48"/>
      <c r="G58" s="48"/>
      <c r="H58" s="7"/>
      <c r="I58" s="7"/>
      <c r="J58" s="7"/>
      <c r="K58" s="7"/>
      <c r="L58" s="7"/>
      <c r="M58" s="74">
        <f t="shared" si="1"/>
        <v>0</v>
      </c>
      <c r="N58" s="75">
        <f t="shared" si="0"/>
        <v>0</v>
      </c>
      <c r="O58" s="18"/>
      <c r="P58" s="132"/>
    </row>
    <row r="59" spans="1:16" x14ac:dyDescent="0.35">
      <c r="A59" s="3"/>
      <c r="B59" s="72">
        <v>50</v>
      </c>
      <c r="C59" s="20"/>
      <c r="D59" s="49"/>
      <c r="E59" s="7"/>
      <c r="F59" s="48"/>
      <c r="G59" s="48"/>
      <c r="H59" s="7"/>
      <c r="I59" s="7"/>
      <c r="J59" s="7"/>
      <c r="K59" s="7"/>
      <c r="L59" s="7"/>
      <c r="M59" s="74">
        <f t="shared" si="1"/>
        <v>0</v>
      </c>
      <c r="N59" s="75">
        <f t="shared" si="0"/>
        <v>0</v>
      </c>
      <c r="O59" s="18"/>
      <c r="P59" s="132"/>
    </row>
    <row r="60" spans="1:16" x14ac:dyDescent="0.35">
      <c r="A60" s="3"/>
      <c r="B60" s="72">
        <v>51</v>
      </c>
      <c r="C60" s="20"/>
      <c r="D60" s="49"/>
      <c r="E60" s="7"/>
      <c r="F60" s="48"/>
      <c r="G60" s="48"/>
      <c r="H60" s="7"/>
      <c r="I60" s="7"/>
      <c r="J60" s="7"/>
      <c r="K60" s="7"/>
      <c r="L60" s="7"/>
      <c r="M60" s="74">
        <f t="shared" ref="M60" si="2">D60</f>
        <v>0</v>
      </c>
      <c r="N60" s="75">
        <f t="shared" ref="N60" si="3">D60</f>
        <v>0</v>
      </c>
      <c r="O60" s="18"/>
      <c r="P60" s="132"/>
    </row>
    <row r="61" spans="1:16" x14ac:dyDescent="0.35">
      <c r="A61" s="3"/>
      <c r="B61" s="72">
        <v>52</v>
      </c>
      <c r="C61" s="20"/>
      <c r="D61" s="49"/>
      <c r="E61" s="7"/>
      <c r="F61" s="48"/>
      <c r="G61" s="48"/>
      <c r="H61" s="7"/>
      <c r="I61" s="7"/>
      <c r="J61" s="7"/>
      <c r="K61" s="7"/>
      <c r="L61" s="7"/>
      <c r="M61" s="74">
        <f t="shared" ref="M61:M62" si="4">D61</f>
        <v>0</v>
      </c>
      <c r="N61" s="75">
        <f t="shared" ref="N61:N62" si="5">D61</f>
        <v>0</v>
      </c>
      <c r="O61" s="18"/>
      <c r="P61" s="132"/>
    </row>
    <row r="62" spans="1:16" x14ac:dyDescent="0.35">
      <c r="A62" s="3"/>
      <c r="B62" s="72">
        <v>53</v>
      </c>
      <c r="C62" s="20"/>
      <c r="D62" s="49"/>
      <c r="E62" s="7"/>
      <c r="F62" s="48"/>
      <c r="G62" s="48"/>
      <c r="H62" s="7"/>
      <c r="I62" s="7"/>
      <c r="J62" s="7"/>
      <c r="K62" s="7"/>
      <c r="L62" s="7"/>
      <c r="M62" s="74">
        <f t="shared" si="4"/>
        <v>0</v>
      </c>
      <c r="N62" s="75">
        <f t="shared" si="5"/>
        <v>0</v>
      </c>
      <c r="O62" s="18"/>
      <c r="P62" s="132"/>
    </row>
    <row r="63" spans="1:16" x14ac:dyDescent="0.35">
      <c r="A63" s="3"/>
      <c r="B63" s="72">
        <v>54</v>
      </c>
      <c r="C63" s="20"/>
      <c r="D63" s="49"/>
      <c r="E63" s="7"/>
      <c r="F63" s="48"/>
      <c r="G63" s="48"/>
      <c r="H63" s="7"/>
      <c r="I63" s="7"/>
      <c r="J63" s="7"/>
      <c r="K63" s="7"/>
      <c r="L63" s="7"/>
      <c r="M63" s="74">
        <f t="shared" si="1"/>
        <v>0</v>
      </c>
      <c r="N63" s="75">
        <f t="shared" si="0"/>
        <v>0</v>
      </c>
      <c r="O63" s="18"/>
      <c r="P63" s="132"/>
    </row>
    <row r="64" spans="1:16" x14ac:dyDescent="0.35">
      <c r="A64" s="3"/>
      <c r="B64" s="72">
        <v>55</v>
      </c>
      <c r="C64" s="20"/>
      <c r="D64" s="49"/>
      <c r="E64" s="7"/>
      <c r="F64" s="48"/>
      <c r="G64" s="48"/>
      <c r="H64" s="7"/>
      <c r="I64" s="7"/>
      <c r="J64" s="7"/>
      <c r="K64" s="7"/>
      <c r="L64" s="7"/>
      <c r="M64" s="74">
        <f t="shared" si="1"/>
        <v>0</v>
      </c>
      <c r="N64" s="75">
        <f t="shared" si="0"/>
        <v>0</v>
      </c>
      <c r="O64" s="18"/>
      <c r="P64" s="132"/>
    </row>
    <row r="65" spans="1:16" x14ac:dyDescent="0.35">
      <c r="A65" s="3"/>
      <c r="B65" s="72">
        <v>56</v>
      </c>
      <c r="C65" s="20"/>
      <c r="D65" s="49"/>
      <c r="E65" s="7"/>
      <c r="F65" s="48"/>
      <c r="G65" s="48"/>
      <c r="H65" s="7"/>
      <c r="I65" s="7"/>
      <c r="J65" s="7"/>
      <c r="K65" s="7"/>
      <c r="L65" s="7"/>
      <c r="M65" s="74">
        <f t="shared" si="1"/>
        <v>0</v>
      </c>
      <c r="N65" s="75">
        <f t="shared" si="0"/>
        <v>0</v>
      </c>
      <c r="O65" s="18"/>
      <c r="P65" s="132"/>
    </row>
    <row r="66" spans="1:16" x14ac:dyDescent="0.35">
      <c r="A66" s="3"/>
      <c r="B66" s="72">
        <v>57</v>
      </c>
      <c r="C66" s="20"/>
      <c r="D66" s="49"/>
      <c r="E66" s="7"/>
      <c r="F66" s="48"/>
      <c r="G66" s="48"/>
      <c r="H66" s="7"/>
      <c r="I66" s="7"/>
      <c r="J66" s="7"/>
      <c r="K66" s="7"/>
      <c r="L66" s="7"/>
      <c r="M66" s="74">
        <f t="shared" si="1"/>
        <v>0</v>
      </c>
      <c r="N66" s="75">
        <f t="shared" si="0"/>
        <v>0</v>
      </c>
      <c r="O66" s="18"/>
      <c r="P66" s="132"/>
    </row>
    <row r="67" spans="1:16" x14ac:dyDescent="0.35">
      <c r="A67" s="3"/>
      <c r="B67" s="72">
        <v>58</v>
      </c>
      <c r="C67" s="20"/>
      <c r="D67" s="49"/>
      <c r="E67" s="7"/>
      <c r="F67" s="48"/>
      <c r="G67" s="48"/>
      <c r="H67" s="7"/>
      <c r="I67" s="7"/>
      <c r="J67" s="7"/>
      <c r="K67" s="7"/>
      <c r="L67" s="7"/>
      <c r="M67" s="74">
        <f t="shared" si="1"/>
        <v>0</v>
      </c>
      <c r="N67" s="75">
        <f t="shared" si="0"/>
        <v>0</v>
      </c>
      <c r="O67" s="18"/>
      <c r="P67" s="132"/>
    </row>
    <row r="68" spans="1:16" x14ac:dyDescent="0.35">
      <c r="A68" s="3"/>
      <c r="B68" s="72">
        <v>59</v>
      </c>
      <c r="C68" s="20"/>
      <c r="D68" s="49"/>
      <c r="E68" s="7"/>
      <c r="F68" s="48"/>
      <c r="G68" s="48"/>
      <c r="H68" s="7"/>
      <c r="I68" s="7"/>
      <c r="J68" s="7"/>
      <c r="K68" s="7"/>
      <c r="L68" s="7"/>
      <c r="M68" s="74">
        <f t="shared" si="1"/>
        <v>0</v>
      </c>
      <c r="N68" s="75">
        <f t="shared" si="0"/>
        <v>0</v>
      </c>
      <c r="O68" s="18"/>
      <c r="P68" s="132"/>
    </row>
    <row r="69" spans="1:16" x14ac:dyDescent="0.35">
      <c r="A69" s="3"/>
      <c r="B69" s="72">
        <v>60</v>
      </c>
      <c r="C69" s="20"/>
      <c r="D69" s="49"/>
      <c r="E69" s="7"/>
      <c r="F69" s="48"/>
      <c r="G69" s="48"/>
      <c r="H69" s="7"/>
      <c r="I69" s="7"/>
      <c r="J69" s="7"/>
      <c r="K69" s="7"/>
      <c r="L69" s="7"/>
      <c r="M69" s="74">
        <f t="shared" si="1"/>
        <v>0</v>
      </c>
      <c r="N69" s="75">
        <f t="shared" si="0"/>
        <v>0</v>
      </c>
      <c r="O69" s="18"/>
      <c r="P69" s="132"/>
    </row>
    <row r="70" spans="1:16" x14ac:dyDescent="0.35">
      <c r="A70" s="3"/>
      <c r="B70" s="72">
        <v>61</v>
      </c>
      <c r="C70" s="20"/>
      <c r="D70" s="49"/>
      <c r="E70" s="7"/>
      <c r="F70" s="48"/>
      <c r="G70" s="48"/>
      <c r="H70" s="7"/>
      <c r="I70" s="7"/>
      <c r="J70" s="7"/>
      <c r="K70" s="7"/>
      <c r="L70" s="7"/>
      <c r="M70" s="74">
        <f t="shared" si="1"/>
        <v>0</v>
      </c>
      <c r="N70" s="75">
        <f t="shared" si="0"/>
        <v>0</v>
      </c>
      <c r="O70" s="18"/>
      <c r="P70" s="132"/>
    </row>
    <row r="71" spans="1:16" x14ac:dyDescent="0.35">
      <c r="A71" s="3"/>
      <c r="B71" s="72">
        <v>62</v>
      </c>
      <c r="C71" s="20"/>
      <c r="D71" s="49"/>
      <c r="E71" s="7"/>
      <c r="F71" s="48"/>
      <c r="G71" s="48"/>
      <c r="H71" s="7"/>
      <c r="I71" s="7"/>
      <c r="J71" s="7"/>
      <c r="K71" s="7"/>
      <c r="L71" s="7"/>
      <c r="M71" s="74">
        <f t="shared" si="1"/>
        <v>0</v>
      </c>
      <c r="N71" s="75">
        <f t="shared" si="0"/>
        <v>0</v>
      </c>
      <c r="O71" s="18"/>
      <c r="P71" s="132"/>
    </row>
    <row r="72" spans="1:16" x14ac:dyDescent="0.35">
      <c r="A72" s="3"/>
      <c r="B72" s="72">
        <v>63</v>
      </c>
      <c r="C72" s="20"/>
      <c r="D72" s="49"/>
      <c r="E72" s="7"/>
      <c r="F72" s="48"/>
      <c r="G72" s="48"/>
      <c r="H72" s="7"/>
      <c r="I72" s="7"/>
      <c r="J72" s="7"/>
      <c r="K72" s="7"/>
      <c r="L72" s="7"/>
      <c r="M72" s="74">
        <f t="shared" si="1"/>
        <v>0</v>
      </c>
      <c r="N72" s="75">
        <f t="shared" si="0"/>
        <v>0</v>
      </c>
      <c r="O72" s="18"/>
      <c r="P72" s="132"/>
    </row>
    <row r="73" spans="1:16" x14ac:dyDescent="0.35">
      <c r="A73" s="3"/>
      <c r="B73" s="72">
        <v>64</v>
      </c>
      <c r="C73" s="20"/>
      <c r="D73" s="49"/>
      <c r="E73" s="7"/>
      <c r="F73" s="48"/>
      <c r="G73" s="48"/>
      <c r="H73" s="7"/>
      <c r="I73" s="7"/>
      <c r="J73" s="7"/>
      <c r="K73" s="7"/>
      <c r="L73" s="7"/>
      <c r="M73" s="74">
        <f t="shared" si="1"/>
        <v>0</v>
      </c>
      <c r="N73" s="75">
        <f t="shared" si="0"/>
        <v>0</v>
      </c>
      <c r="O73" s="18"/>
      <c r="P73" s="132"/>
    </row>
    <row r="74" spans="1:16" x14ac:dyDescent="0.35">
      <c r="A74" s="3"/>
      <c r="B74" s="72">
        <v>65</v>
      </c>
      <c r="C74" s="20"/>
      <c r="D74" s="49"/>
      <c r="E74" s="7"/>
      <c r="F74" s="48"/>
      <c r="G74" s="48"/>
      <c r="H74" s="7"/>
      <c r="I74" s="7"/>
      <c r="J74" s="7"/>
      <c r="K74" s="7"/>
      <c r="L74" s="7"/>
      <c r="M74" s="74">
        <f t="shared" si="1"/>
        <v>0</v>
      </c>
      <c r="N74" s="75">
        <f t="shared" si="0"/>
        <v>0</v>
      </c>
      <c r="O74" s="18"/>
      <c r="P74" s="132"/>
    </row>
    <row r="75" spans="1:16" x14ac:dyDescent="0.35">
      <c r="A75" s="3"/>
      <c r="B75" s="72">
        <v>66</v>
      </c>
      <c r="C75" s="20"/>
      <c r="D75" s="49"/>
      <c r="E75" s="7"/>
      <c r="F75" s="48"/>
      <c r="G75" s="48"/>
      <c r="H75" s="7"/>
      <c r="I75" s="7"/>
      <c r="J75" s="7"/>
      <c r="K75" s="7"/>
      <c r="L75" s="7"/>
      <c r="M75" s="74">
        <f t="shared" ref="M75:M138" si="6">D75</f>
        <v>0</v>
      </c>
      <c r="N75" s="75">
        <f t="shared" ref="N75:N138" si="7">D75</f>
        <v>0</v>
      </c>
      <c r="O75" s="18"/>
      <c r="P75" s="132"/>
    </row>
    <row r="76" spans="1:16" x14ac:dyDescent="0.35">
      <c r="A76" s="3"/>
      <c r="B76" s="72">
        <v>67</v>
      </c>
      <c r="C76" s="20"/>
      <c r="D76" s="49"/>
      <c r="E76" s="7"/>
      <c r="F76" s="48"/>
      <c r="G76" s="48"/>
      <c r="H76" s="7"/>
      <c r="I76" s="7"/>
      <c r="J76" s="7"/>
      <c r="K76" s="7"/>
      <c r="L76" s="7"/>
      <c r="M76" s="74">
        <f t="shared" si="6"/>
        <v>0</v>
      </c>
      <c r="N76" s="75">
        <f t="shared" si="7"/>
        <v>0</v>
      </c>
      <c r="O76" s="18"/>
      <c r="P76" s="132"/>
    </row>
    <row r="77" spans="1:16" x14ac:dyDescent="0.35">
      <c r="A77" s="3"/>
      <c r="B77" s="72">
        <v>68</v>
      </c>
      <c r="C77" s="20"/>
      <c r="D77" s="49"/>
      <c r="E77" s="7"/>
      <c r="F77" s="48"/>
      <c r="G77" s="48"/>
      <c r="H77" s="7"/>
      <c r="I77" s="7"/>
      <c r="J77" s="7"/>
      <c r="K77" s="7"/>
      <c r="L77" s="7"/>
      <c r="M77" s="74">
        <f t="shared" si="6"/>
        <v>0</v>
      </c>
      <c r="N77" s="75">
        <f t="shared" si="7"/>
        <v>0</v>
      </c>
      <c r="O77" s="18"/>
      <c r="P77" s="132"/>
    </row>
    <row r="78" spans="1:16" x14ac:dyDescent="0.35">
      <c r="A78" s="3"/>
      <c r="B78" s="72">
        <v>69</v>
      </c>
      <c r="C78" s="20"/>
      <c r="D78" s="49"/>
      <c r="E78" s="7"/>
      <c r="F78" s="48"/>
      <c r="G78" s="48"/>
      <c r="H78" s="7"/>
      <c r="I78" s="7"/>
      <c r="J78" s="7"/>
      <c r="K78" s="7"/>
      <c r="L78" s="7"/>
      <c r="M78" s="74">
        <f t="shared" si="6"/>
        <v>0</v>
      </c>
      <c r="N78" s="75">
        <f t="shared" si="7"/>
        <v>0</v>
      </c>
      <c r="O78" s="18"/>
      <c r="P78" s="132"/>
    </row>
    <row r="79" spans="1:16" x14ac:dyDescent="0.35">
      <c r="A79" s="3"/>
      <c r="B79" s="72">
        <v>70</v>
      </c>
      <c r="C79" s="20"/>
      <c r="D79" s="49"/>
      <c r="E79" s="7"/>
      <c r="F79" s="48"/>
      <c r="G79" s="48"/>
      <c r="H79" s="7"/>
      <c r="I79" s="7"/>
      <c r="J79" s="7"/>
      <c r="K79" s="7"/>
      <c r="L79" s="7"/>
      <c r="M79" s="74">
        <f t="shared" si="6"/>
        <v>0</v>
      </c>
      <c r="N79" s="75">
        <f t="shared" si="7"/>
        <v>0</v>
      </c>
      <c r="O79" s="18"/>
      <c r="P79" s="132"/>
    </row>
    <row r="80" spans="1:16" x14ac:dyDescent="0.35">
      <c r="A80" s="3"/>
      <c r="B80" s="72">
        <v>71</v>
      </c>
      <c r="C80" s="20"/>
      <c r="D80" s="49"/>
      <c r="E80" s="7"/>
      <c r="F80" s="48"/>
      <c r="G80" s="48"/>
      <c r="H80" s="7"/>
      <c r="I80" s="7"/>
      <c r="J80" s="7"/>
      <c r="K80" s="7"/>
      <c r="L80" s="7"/>
      <c r="M80" s="74">
        <f t="shared" si="6"/>
        <v>0</v>
      </c>
      <c r="N80" s="75">
        <f t="shared" si="7"/>
        <v>0</v>
      </c>
      <c r="O80" s="18"/>
      <c r="P80" s="132"/>
    </row>
    <row r="81" spans="1:16" x14ac:dyDescent="0.35">
      <c r="A81" s="3"/>
      <c r="B81" s="72">
        <v>72</v>
      </c>
      <c r="C81" s="20"/>
      <c r="D81" s="49"/>
      <c r="E81" s="7"/>
      <c r="F81" s="48"/>
      <c r="G81" s="48"/>
      <c r="H81" s="7"/>
      <c r="I81" s="7"/>
      <c r="J81" s="7"/>
      <c r="K81" s="7"/>
      <c r="L81" s="7"/>
      <c r="M81" s="74">
        <f t="shared" si="6"/>
        <v>0</v>
      </c>
      <c r="N81" s="75">
        <f t="shared" si="7"/>
        <v>0</v>
      </c>
      <c r="O81" s="18"/>
      <c r="P81" s="132"/>
    </row>
    <row r="82" spans="1:16" x14ac:dyDescent="0.35">
      <c r="A82" s="3"/>
      <c r="B82" s="72">
        <v>73</v>
      </c>
      <c r="C82" s="20"/>
      <c r="D82" s="49"/>
      <c r="E82" s="7"/>
      <c r="F82" s="48"/>
      <c r="G82" s="48"/>
      <c r="H82" s="7"/>
      <c r="I82" s="7"/>
      <c r="J82" s="7"/>
      <c r="K82" s="7"/>
      <c r="L82" s="7"/>
      <c r="M82" s="74">
        <f t="shared" si="6"/>
        <v>0</v>
      </c>
      <c r="N82" s="75">
        <f t="shared" si="7"/>
        <v>0</v>
      </c>
      <c r="O82" s="18"/>
      <c r="P82" s="132"/>
    </row>
    <row r="83" spans="1:16" x14ac:dyDescent="0.35">
      <c r="A83" s="3"/>
      <c r="B83" s="72">
        <v>74</v>
      </c>
      <c r="C83" s="20"/>
      <c r="D83" s="49"/>
      <c r="E83" s="7"/>
      <c r="F83" s="48"/>
      <c r="G83" s="48"/>
      <c r="H83" s="7"/>
      <c r="I83" s="7"/>
      <c r="J83" s="7"/>
      <c r="K83" s="7"/>
      <c r="L83" s="7"/>
      <c r="M83" s="74">
        <f t="shared" si="6"/>
        <v>0</v>
      </c>
      <c r="N83" s="75">
        <f t="shared" si="7"/>
        <v>0</v>
      </c>
      <c r="O83" s="18"/>
      <c r="P83" s="132"/>
    </row>
    <row r="84" spans="1:16" x14ac:dyDescent="0.35">
      <c r="A84" s="3"/>
      <c r="B84" s="72">
        <v>75</v>
      </c>
      <c r="C84" s="20"/>
      <c r="D84" s="49"/>
      <c r="E84" s="7"/>
      <c r="F84" s="48"/>
      <c r="G84" s="48"/>
      <c r="H84" s="7"/>
      <c r="I84" s="7"/>
      <c r="J84" s="7"/>
      <c r="K84" s="7"/>
      <c r="L84" s="7"/>
      <c r="M84" s="74">
        <f t="shared" si="6"/>
        <v>0</v>
      </c>
      <c r="N84" s="75">
        <f t="shared" si="7"/>
        <v>0</v>
      </c>
      <c r="O84" s="18"/>
      <c r="P84" s="132"/>
    </row>
    <row r="85" spans="1:16" x14ac:dyDescent="0.35">
      <c r="A85" s="3"/>
      <c r="B85" s="72">
        <v>76</v>
      </c>
      <c r="C85" s="20"/>
      <c r="D85" s="49"/>
      <c r="E85" s="7"/>
      <c r="F85" s="48"/>
      <c r="G85" s="48"/>
      <c r="H85" s="7"/>
      <c r="I85" s="7"/>
      <c r="J85" s="7"/>
      <c r="K85" s="7"/>
      <c r="L85" s="7"/>
      <c r="M85" s="74">
        <f t="shared" si="6"/>
        <v>0</v>
      </c>
      <c r="N85" s="75">
        <f t="shared" si="7"/>
        <v>0</v>
      </c>
      <c r="O85" s="18"/>
      <c r="P85" s="132"/>
    </row>
    <row r="86" spans="1:16" x14ac:dyDescent="0.35">
      <c r="A86" s="3"/>
      <c r="B86" s="72">
        <v>77</v>
      </c>
      <c r="C86" s="20"/>
      <c r="D86" s="49"/>
      <c r="E86" s="7"/>
      <c r="F86" s="48"/>
      <c r="G86" s="48"/>
      <c r="H86" s="7"/>
      <c r="I86" s="7"/>
      <c r="J86" s="7"/>
      <c r="K86" s="7"/>
      <c r="L86" s="7"/>
      <c r="M86" s="74">
        <f t="shared" si="6"/>
        <v>0</v>
      </c>
      <c r="N86" s="75">
        <f t="shared" si="7"/>
        <v>0</v>
      </c>
      <c r="O86" s="18"/>
      <c r="P86" s="132"/>
    </row>
    <row r="87" spans="1:16" x14ac:dyDescent="0.35">
      <c r="A87" s="3"/>
      <c r="B87" s="72">
        <v>78</v>
      </c>
      <c r="C87" s="20"/>
      <c r="D87" s="49"/>
      <c r="E87" s="7"/>
      <c r="F87" s="48"/>
      <c r="G87" s="48"/>
      <c r="H87" s="7"/>
      <c r="I87" s="7"/>
      <c r="J87" s="7"/>
      <c r="K87" s="7"/>
      <c r="L87" s="7"/>
      <c r="M87" s="74">
        <f t="shared" si="6"/>
        <v>0</v>
      </c>
      <c r="N87" s="75">
        <f t="shared" si="7"/>
        <v>0</v>
      </c>
      <c r="O87" s="18"/>
      <c r="P87" s="132"/>
    </row>
    <row r="88" spans="1:16" x14ac:dyDescent="0.35">
      <c r="A88" s="3"/>
      <c r="B88" s="72">
        <v>79</v>
      </c>
      <c r="C88" s="20"/>
      <c r="D88" s="49"/>
      <c r="E88" s="7"/>
      <c r="F88" s="48"/>
      <c r="G88" s="48"/>
      <c r="H88" s="7"/>
      <c r="I88" s="7"/>
      <c r="J88" s="7"/>
      <c r="K88" s="7"/>
      <c r="L88" s="7"/>
      <c r="M88" s="74">
        <f t="shared" si="6"/>
        <v>0</v>
      </c>
      <c r="N88" s="75">
        <f t="shared" si="7"/>
        <v>0</v>
      </c>
      <c r="O88" s="18"/>
      <c r="P88" s="132"/>
    </row>
    <row r="89" spans="1:16" x14ac:dyDescent="0.35">
      <c r="A89" s="3"/>
      <c r="B89" s="72">
        <v>80</v>
      </c>
      <c r="C89" s="20"/>
      <c r="D89" s="49"/>
      <c r="E89" s="7"/>
      <c r="F89" s="48"/>
      <c r="G89" s="48"/>
      <c r="H89" s="7"/>
      <c r="I89" s="7"/>
      <c r="J89" s="7"/>
      <c r="K89" s="7"/>
      <c r="L89" s="7"/>
      <c r="M89" s="74">
        <f t="shared" si="6"/>
        <v>0</v>
      </c>
      <c r="N89" s="75">
        <f t="shared" si="7"/>
        <v>0</v>
      </c>
      <c r="O89" s="18"/>
      <c r="P89" s="132"/>
    </row>
    <row r="90" spans="1:16" x14ac:dyDescent="0.35">
      <c r="A90" s="3"/>
      <c r="B90" s="72">
        <v>81</v>
      </c>
      <c r="C90" s="20"/>
      <c r="D90" s="49"/>
      <c r="E90" s="7"/>
      <c r="F90" s="48"/>
      <c r="G90" s="48"/>
      <c r="H90" s="7"/>
      <c r="I90" s="7"/>
      <c r="J90" s="7"/>
      <c r="K90" s="7"/>
      <c r="L90" s="7"/>
      <c r="M90" s="74">
        <f t="shared" si="6"/>
        <v>0</v>
      </c>
      <c r="N90" s="75">
        <f t="shared" si="7"/>
        <v>0</v>
      </c>
      <c r="O90" s="18"/>
      <c r="P90" s="132"/>
    </row>
    <row r="91" spans="1:16" x14ac:dyDescent="0.35">
      <c r="A91" s="3"/>
      <c r="B91" s="72">
        <v>82</v>
      </c>
      <c r="C91" s="20"/>
      <c r="D91" s="49"/>
      <c r="E91" s="7"/>
      <c r="F91" s="48"/>
      <c r="G91" s="48"/>
      <c r="H91" s="7"/>
      <c r="I91" s="7"/>
      <c r="J91" s="7"/>
      <c r="K91" s="7"/>
      <c r="L91" s="7"/>
      <c r="M91" s="74">
        <f t="shared" si="6"/>
        <v>0</v>
      </c>
      <c r="N91" s="75">
        <f t="shared" si="7"/>
        <v>0</v>
      </c>
      <c r="O91" s="18"/>
      <c r="P91" s="132"/>
    </row>
    <row r="92" spans="1:16" x14ac:dyDescent="0.35">
      <c r="A92" s="3"/>
      <c r="B92" s="72">
        <v>83</v>
      </c>
      <c r="C92" s="20"/>
      <c r="D92" s="49"/>
      <c r="E92" s="7"/>
      <c r="F92" s="48"/>
      <c r="G92" s="48"/>
      <c r="H92" s="7"/>
      <c r="I92" s="7"/>
      <c r="J92" s="7"/>
      <c r="K92" s="7"/>
      <c r="L92" s="7"/>
      <c r="M92" s="74">
        <f t="shared" si="6"/>
        <v>0</v>
      </c>
      <c r="N92" s="75">
        <f t="shared" si="7"/>
        <v>0</v>
      </c>
      <c r="O92" s="18"/>
      <c r="P92" s="132"/>
    </row>
    <row r="93" spans="1:16" x14ac:dyDescent="0.35">
      <c r="A93" s="3"/>
      <c r="B93" s="72">
        <v>84</v>
      </c>
      <c r="C93" s="20"/>
      <c r="D93" s="49"/>
      <c r="E93" s="7"/>
      <c r="F93" s="48"/>
      <c r="G93" s="48"/>
      <c r="H93" s="7"/>
      <c r="I93" s="7"/>
      <c r="J93" s="7"/>
      <c r="K93" s="7"/>
      <c r="L93" s="7"/>
      <c r="M93" s="74">
        <f t="shared" si="6"/>
        <v>0</v>
      </c>
      <c r="N93" s="75">
        <f t="shared" si="7"/>
        <v>0</v>
      </c>
      <c r="O93" s="18"/>
      <c r="P93" s="132"/>
    </row>
    <row r="94" spans="1:16" x14ac:dyDescent="0.35">
      <c r="A94" s="3"/>
      <c r="B94" s="72">
        <v>85</v>
      </c>
      <c r="C94" s="20"/>
      <c r="D94" s="49"/>
      <c r="E94" s="7"/>
      <c r="F94" s="48"/>
      <c r="G94" s="48"/>
      <c r="H94" s="7"/>
      <c r="I94" s="7"/>
      <c r="J94" s="7"/>
      <c r="K94" s="7"/>
      <c r="L94" s="7"/>
      <c r="M94" s="74">
        <f t="shared" si="6"/>
        <v>0</v>
      </c>
      <c r="N94" s="75">
        <f t="shared" si="7"/>
        <v>0</v>
      </c>
      <c r="O94" s="18"/>
      <c r="P94" s="132"/>
    </row>
    <row r="95" spans="1:16" x14ac:dyDescent="0.35">
      <c r="A95" s="3"/>
      <c r="B95" s="72">
        <v>86</v>
      </c>
      <c r="C95" s="20"/>
      <c r="D95" s="49"/>
      <c r="E95" s="7"/>
      <c r="F95" s="48"/>
      <c r="G95" s="48"/>
      <c r="H95" s="7"/>
      <c r="I95" s="7"/>
      <c r="J95" s="7"/>
      <c r="K95" s="7"/>
      <c r="L95" s="7"/>
      <c r="M95" s="74">
        <f t="shared" si="6"/>
        <v>0</v>
      </c>
      <c r="N95" s="75">
        <f t="shared" si="7"/>
        <v>0</v>
      </c>
      <c r="O95" s="18"/>
      <c r="P95" s="132"/>
    </row>
    <row r="96" spans="1:16" x14ac:dyDescent="0.35">
      <c r="A96" s="3"/>
      <c r="B96" s="72">
        <v>87</v>
      </c>
      <c r="C96" s="20"/>
      <c r="D96" s="49"/>
      <c r="E96" s="7"/>
      <c r="F96" s="48"/>
      <c r="G96" s="48"/>
      <c r="H96" s="7"/>
      <c r="I96" s="7"/>
      <c r="J96" s="7"/>
      <c r="K96" s="7"/>
      <c r="L96" s="7"/>
      <c r="M96" s="74">
        <f t="shared" si="6"/>
        <v>0</v>
      </c>
      <c r="N96" s="75">
        <f t="shared" si="7"/>
        <v>0</v>
      </c>
      <c r="O96" s="18"/>
      <c r="P96" s="132"/>
    </row>
    <row r="97" spans="1:16" x14ac:dyDescent="0.35">
      <c r="A97" s="3"/>
      <c r="B97" s="72">
        <v>88</v>
      </c>
      <c r="C97" s="20"/>
      <c r="D97" s="49"/>
      <c r="E97" s="7"/>
      <c r="F97" s="48"/>
      <c r="G97" s="48"/>
      <c r="H97" s="7"/>
      <c r="I97" s="7"/>
      <c r="J97" s="7"/>
      <c r="K97" s="7"/>
      <c r="L97" s="7"/>
      <c r="M97" s="74">
        <f t="shared" si="6"/>
        <v>0</v>
      </c>
      <c r="N97" s="75">
        <f t="shared" si="7"/>
        <v>0</v>
      </c>
      <c r="O97" s="18"/>
      <c r="P97" s="132"/>
    </row>
    <row r="98" spans="1:16" x14ac:dyDescent="0.35">
      <c r="A98" s="3"/>
      <c r="B98" s="72">
        <v>89</v>
      </c>
      <c r="C98" s="20"/>
      <c r="D98" s="49"/>
      <c r="E98" s="7"/>
      <c r="F98" s="48"/>
      <c r="G98" s="48"/>
      <c r="H98" s="7"/>
      <c r="I98" s="7"/>
      <c r="J98" s="7"/>
      <c r="K98" s="7"/>
      <c r="L98" s="7"/>
      <c r="M98" s="74">
        <f t="shared" si="6"/>
        <v>0</v>
      </c>
      <c r="N98" s="75">
        <f t="shared" si="7"/>
        <v>0</v>
      </c>
      <c r="O98" s="18"/>
      <c r="P98" s="132"/>
    </row>
    <row r="99" spans="1:16" x14ac:dyDescent="0.35">
      <c r="A99" s="3"/>
      <c r="B99" s="72">
        <v>90</v>
      </c>
      <c r="C99" s="20"/>
      <c r="D99" s="49"/>
      <c r="E99" s="7"/>
      <c r="F99" s="48"/>
      <c r="G99" s="48"/>
      <c r="H99" s="7"/>
      <c r="I99" s="7"/>
      <c r="J99" s="7"/>
      <c r="K99" s="7"/>
      <c r="L99" s="7"/>
      <c r="M99" s="74">
        <f t="shared" si="6"/>
        <v>0</v>
      </c>
      <c r="N99" s="75">
        <f t="shared" si="7"/>
        <v>0</v>
      </c>
      <c r="O99" s="18"/>
      <c r="P99" s="132"/>
    </row>
    <row r="100" spans="1:16" x14ac:dyDescent="0.35">
      <c r="A100" s="3"/>
      <c r="B100" s="72">
        <v>91</v>
      </c>
      <c r="C100" s="20"/>
      <c r="D100" s="49"/>
      <c r="E100" s="7"/>
      <c r="F100" s="48"/>
      <c r="G100" s="48"/>
      <c r="H100" s="7"/>
      <c r="I100" s="7"/>
      <c r="J100" s="7"/>
      <c r="K100" s="7"/>
      <c r="L100" s="7"/>
      <c r="M100" s="74">
        <f t="shared" si="6"/>
        <v>0</v>
      </c>
      <c r="N100" s="75">
        <f t="shared" si="7"/>
        <v>0</v>
      </c>
      <c r="O100" s="18"/>
      <c r="P100" s="132"/>
    </row>
    <row r="101" spans="1:16" x14ac:dyDescent="0.35">
      <c r="A101" s="3"/>
      <c r="B101" s="72">
        <v>92</v>
      </c>
      <c r="C101" s="20"/>
      <c r="D101" s="49"/>
      <c r="E101" s="7"/>
      <c r="F101" s="48"/>
      <c r="G101" s="48"/>
      <c r="H101" s="7"/>
      <c r="I101" s="7"/>
      <c r="J101" s="7"/>
      <c r="K101" s="7"/>
      <c r="L101" s="7"/>
      <c r="M101" s="74">
        <f t="shared" si="6"/>
        <v>0</v>
      </c>
      <c r="N101" s="75">
        <f t="shared" si="7"/>
        <v>0</v>
      </c>
      <c r="O101" s="18"/>
      <c r="P101" s="132"/>
    </row>
    <row r="102" spans="1:16" x14ac:dyDescent="0.35">
      <c r="A102" s="3"/>
      <c r="B102" s="72">
        <v>93</v>
      </c>
      <c r="C102" s="20"/>
      <c r="D102" s="49"/>
      <c r="E102" s="7"/>
      <c r="F102" s="48"/>
      <c r="G102" s="48"/>
      <c r="H102" s="7"/>
      <c r="I102" s="7"/>
      <c r="J102" s="7"/>
      <c r="K102" s="7"/>
      <c r="L102" s="7"/>
      <c r="M102" s="74">
        <f t="shared" si="6"/>
        <v>0</v>
      </c>
      <c r="N102" s="75">
        <f t="shared" si="7"/>
        <v>0</v>
      </c>
      <c r="O102" s="18"/>
      <c r="P102" s="132"/>
    </row>
    <row r="103" spans="1:16" x14ac:dyDescent="0.35">
      <c r="A103" s="3"/>
      <c r="B103" s="72">
        <v>94</v>
      </c>
      <c r="C103" s="20"/>
      <c r="D103" s="49"/>
      <c r="E103" s="7"/>
      <c r="F103" s="48"/>
      <c r="G103" s="48"/>
      <c r="H103" s="7"/>
      <c r="I103" s="7"/>
      <c r="J103" s="7"/>
      <c r="K103" s="7"/>
      <c r="L103" s="7"/>
      <c r="M103" s="74">
        <f t="shared" si="6"/>
        <v>0</v>
      </c>
      <c r="N103" s="75">
        <f t="shared" si="7"/>
        <v>0</v>
      </c>
      <c r="O103" s="18"/>
      <c r="P103" s="132"/>
    </row>
    <row r="104" spans="1:16" x14ac:dyDescent="0.35">
      <c r="A104" s="3"/>
      <c r="B104" s="72">
        <v>95</v>
      </c>
      <c r="C104" s="20"/>
      <c r="D104" s="49"/>
      <c r="E104" s="7"/>
      <c r="F104" s="48"/>
      <c r="G104" s="48"/>
      <c r="H104" s="7"/>
      <c r="I104" s="7"/>
      <c r="J104" s="7"/>
      <c r="K104" s="7"/>
      <c r="L104" s="7"/>
      <c r="M104" s="74">
        <f t="shared" si="6"/>
        <v>0</v>
      </c>
      <c r="N104" s="75">
        <f t="shared" si="7"/>
        <v>0</v>
      </c>
      <c r="O104" s="18"/>
      <c r="P104" s="132"/>
    </row>
    <row r="105" spans="1:16" x14ac:dyDescent="0.35">
      <c r="A105" s="3"/>
      <c r="B105" s="72">
        <v>96</v>
      </c>
      <c r="C105" s="20"/>
      <c r="D105" s="49"/>
      <c r="E105" s="7"/>
      <c r="F105" s="48"/>
      <c r="G105" s="48"/>
      <c r="H105" s="7"/>
      <c r="I105" s="7"/>
      <c r="J105" s="7"/>
      <c r="K105" s="7"/>
      <c r="L105" s="7"/>
      <c r="M105" s="74">
        <f t="shared" si="6"/>
        <v>0</v>
      </c>
      <c r="N105" s="75">
        <f t="shared" si="7"/>
        <v>0</v>
      </c>
      <c r="O105" s="18"/>
      <c r="P105" s="132"/>
    </row>
    <row r="106" spans="1:16" x14ac:dyDescent="0.35">
      <c r="A106" s="3"/>
      <c r="B106" s="72">
        <v>97</v>
      </c>
      <c r="C106" s="20"/>
      <c r="D106" s="49"/>
      <c r="E106" s="7"/>
      <c r="F106" s="48"/>
      <c r="G106" s="48"/>
      <c r="H106" s="7"/>
      <c r="I106" s="7"/>
      <c r="J106" s="7"/>
      <c r="K106" s="7"/>
      <c r="L106" s="7"/>
      <c r="M106" s="74">
        <f t="shared" si="6"/>
        <v>0</v>
      </c>
      <c r="N106" s="75">
        <f t="shared" si="7"/>
        <v>0</v>
      </c>
      <c r="O106" s="18"/>
      <c r="P106" s="132"/>
    </row>
    <row r="107" spans="1:16" x14ac:dyDescent="0.35">
      <c r="A107" s="3"/>
      <c r="B107" s="72">
        <v>98</v>
      </c>
      <c r="C107" s="20"/>
      <c r="D107" s="49"/>
      <c r="E107" s="7"/>
      <c r="F107" s="48"/>
      <c r="G107" s="48"/>
      <c r="H107" s="7"/>
      <c r="I107" s="7"/>
      <c r="J107" s="7"/>
      <c r="K107" s="7"/>
      <c r="L107" s="7"/>
      <c r="M107" s="74">
        <f t="shared" si="6"/>
        <v>0</v>
      </c>
      <c r="N107" s="75">
        <f t="shared" si="7"/>
        <v>0</v>
      </c>
      <c r="O107" s="18"/>
      <c r="P107" s="132"/>
    </row>
    <row r="108" spans="1:16" x14ac:dyDescent="0.35">
      <c r="A108" s="3"/>
      <c r="B108" s="72">
        <v>99</v>
      </c>
      <c r="C108" s="20"/>
      <c r="D108" s="49"/>
      <c r="E108" s="7"/>
      <c r="F108" s="48"/>
      <c r="G108" s="48"/>
      <c r="H108" s="7"/>
      <c r="I108" s="7"/>
      <c r="J108" s="7"/>
      <c r="K108" s="7"/>
      <c r="L108" s="7"/>
      <c r="M108" s="74">
        <f t="shared" si="6"/>
        <v>0</v>
      </c>
      <c r="N108" s="75">
        <f t="shared" si="7"/>
        <v>0</v>
      </c>
      <c r="O108" s="18"/>
      <c r="P108" s="132"/>
    </row>
    <row r="109" spans="1:16" x14ac:dyDescent="0.35">
      <c r="A109" s="3"/>
      <c r="B109" s="72">
        <v>100</v>
      </c>
      <c r="C109" s="20"/>
      <c r="D109" s="49"/>
      <c r="E109" s="7"/>
      <c r="F109" s="48"/>
      <c r="G109" s="48"/>
      <c r="H109" s="7"/>
      <c r="I109" s="7"/>
      <c r="J109" s="7"/>
      <c r="K109" s="7"/>
      <c r="L109" s="7"/>
      <c r="M109" s="74">
        <f t="shared" si="6"/>
        <v>0</v>
      </c>
      <c r="N109" s="75">
        <f t="shared" si="7"/>
        <v>0</v>
      </c>
      <c r="O109" s="18"/>
      <c r="P109" s="132"/>
    </row>
    <row r="110" spans="1:16" x14ac:dyDescent="0.35">
      <c r="A110" s="3"/>
      <c r="B110" s="72">
        <v>101</v>
      </c>
      <c r="C110" s="20"/>
      <c r="D110" s="49"/>
      <c r="E110" s="7"/>
      <c r="F110" s="48"/>
      <c r="G110" s="48"/>
      <c r="H110" s="7"/>
      <c r="I110" s="7"/>
      <c r="J110" s="7"/>
      <c r="K110" s="7"/>
      <c r="L110" s="7"/>
      <c r="M110" s="74">
        <f t="shared" si="6"/>
        <v>0</v>
      </c>
      <c r="N110" s="75">
        <f t="shared" si="7"/>
        <v>0</v>
      </c>
      <c r="O110" s="18"/>
      <c r="P110" s="132"/>
    </row>
    <row r="111" spans="1:16" x14ac:dyDescent="0.35">
      <c r="A111" s="3"/>
      <c r="B111" s="72">
        <v>102</v>
      </c>
      <c r="C111" s="20"/>
      <c r="D111" s="49"/>
      <c r="E111" s="7"/>
      <c r="F111" s="48"/>
      <c r="G111" s="48"/>
      <c r="H111" s="7"/>
      <c r="I111" s="7"/>
      <c r="J111" s="7"/>
      <c r="K111" s="7"/>
      <c r="L111" s="7"/>
      <c r="M111" s="74">
        <f t="shared" si="6"/>
        <v>0</v>
      </c>
      <c r="N111" s="75">
        <f t="shared" si="7"/>
        <v>0</v>
      </c>
      <c r="O111" s="18"/>
      <c r="P111" s="132"/>
    </row>
    <row r="112" spans="1:16" x14ac:dyDescent="0.35">
      <c r="A112" s="3"/>
      <c r="B112" s="72">
        <v>103</v>
      </c>
      <c r="C112" s="20"/>
      <c r="D112" s="49"/>
      <c r="E112" s="7"/>
      <c r="F112" s="48"/>
      <c r="G112" s="48"/>
      <c r="H112" s="7"/>
      <c r="I112" s="7"/>
      <c r="J112" s="7"/>
      <c r="K112" s="7"/>
      <c r="L112" s="7"/>
      <c r="M112" s="74">
        <f t="shared" si="6"/>
        <v>0</v>
      </c>
      <c r="N112" s="75">
        <f t="shared" si="7"/>
        <v>0</v>
      </c>
      <c r="O112" s="18"/>
      <c r="P112" s="132"/>
    </row>
    <row r="113" spans="1:16" x14ac:dyDescent="0.35">
      <c r="A113" s="3"/>
      <c r="B113" s="72">
        <v>104</v>
      </c>
      <c r="C113" s="20"/>
      <c r="D113" s="49"/>
      <c r="E113" s="7"/>
      <c r="F113" s="48"/>
      <c r="G113" s="48"/>
      <c r="H113" s="7"/>
      <c r="I113" s="7"/>
      <c r="J113" s="7"/>
      <c r="K113" s="7"/>
      <c r="L113" s="7"/>
      <c r="M113" s="74">
        <f t="shared" si="6"/>
        <v>0</v>
      </c>
      <c r="N113" s="75">
        <f t="shared" si="7"/>
        <v>0</v>
      </c>
      <c r="O113" s="18"/>
      <c r="P113" s="132"/>
    </row>
    <row r="114" spans="1:16" x14ac:dyDescent="0.35">
      <c r="A114" s="3"/>
      <c r="B114" s="72">
        <v>105</v>
      </c>
      <c r="C114" s="20"/>
      <c r="D114" s="49"/>
      <c r="E114" s="7"/>
      <c r="F114" s="48"/>
      <c r="G114" s="48"/>
      <c r="H114" s="7"/>
      <c r="I114" s="7"/>
      <c r="J114" s="7"/>
      <c r="K114" s="7"/>
      <c r="L114" s="7"/>
      <c r="M114" s="74">
        <f t="shared" si="6"/>
        <v>0</v>
      </c>
      <c r="N114" s="75">
        <f t="shared" si="7"/>
        <v>0</v>
      </c>
      <c r="O114" s="18"/>
      <c r="P114" s="132"/>
    </row>
    <row r="115" spans="1:16" x14ac:dyDescent="0.35">
      <c r="A115" s="3"/>
      <c r="B115" s="72">
        <v>106</v>
      </c>
      <c r="C115" s="20"/>
      <c r="D115" s="49"/>
      <c r="E115" s="7"/>
      <c r="F115" s="48"/>
      <c r="G115" s="48"/>
      <c r="H115" s="7"/>
      <c r="I115" s="7"/>
      <c r="J115" s="7"/>
      <c r="K115" s="7"/>
      <c r="L115" s="7"/>
      <c r="M115" s="74">
        <f t="shared" si="6"/>
        <v>0</v>
      </c>
      <c r="N115" s="75">
        <f t="shared" si="7"/>
        <v>0</v>
      </c>
      <c r="O115" s="18"/>
      <c r="P115" s="132"/>
    </row>
    <row r="116" spans="1:16" x14ac:dyDescent="0.35">
      <c r="A116" s="3"/>
      <c r="B116" s="72">
        <v>107</v>
      </c>
      <c r="C116" s="20"/>
      <c r="D116" s="49"/>
      <c r="E116" s="7"/>
      <c r="F116" s="48"/>
      <c r="G116" s="48"/>
      <c r="H116" s="7"/>
      <c r="I116" s="7"/>
      <c r="J116" s="7"/>
      <c r="K116" s="7"/>
      <c r="L116" s="7"/>
      <c r="M116" s="74">
        <f t="shared" si="6"/>
        <v>0</v>
      </c>
      <c r="N116" s="75">
        <f t="shared" si="7"/>
        <v>0</v>
      </c>
      <c r="O116" s="18"/>
      <c r="P116" s="132"/>
    </row>
    <row r="117" spans="1:16" x14ac:dyDescent="0.35">
      <c r="A117" s="3"/>
      <c r="B117" s="72">
        <v>108</v>
      </c>
      <c r="C117" s="20"/>
      <c r="D117" s="49"/>
      <c r="E117" s="7"/>
      <c r="F117" s="48"/>
      <c r="G117" s="48"/>
      <c r="H117" s="7"/>
      <c r="I117" s="7"/>
      <c r="J117" s="7"/>
      <c r="K117" s="7"/>
      <c r="L117" s="7"/>
      <c r="M117" s="74">
        <f t="shared" si="6"/>
        <v>0</v>
      </c>
      <c r="N117" s="75">
        <f t="shared" si="7"/>
        <v>0</v>
      </c>
      <c r="O117" s="18"/>
      <c r="P117" s="132"/>
    </row>
    <row r="118" spans="1:16" x14ac:dyDescent="0.35">
      <c r="A118" s="3"/>
      <c r="B118" s="72">
        <v>109</v>
      </c>
      <c r="C118" s="20"/>
      <c r="D118" s="20"/>
      <c r="E118" s="7"/>
      <c r="F118" s="48"/>
      <c r="G118" s="48"/>
      <c r="H118" s="7"/>
      <c r="I118" s="7"/>
      <c r="J118" s="7"/>
      <c r="K118" s="7"/>
      <c r="L118" s="7"/>
      <c r="M118" s="74">
        <f t="shared" si="6"/>
        <v>0</v>
      </c>
      <c r="N118" s="75">
        <f t="shared" si="7"/>
        <v>0</v>
      </c>
      <c r="O118" s="18"/>
      <c r="P118" s="132"/>
    </row>
    <row r="119" spans="1:16" x14ac:dyDescent="0.35">
      <c r="A119" s="3"/>
      <c r="B119" s="72">
        <v>110</v>
      </c>
      <c r="C119" s="20"/>
      <c r="D119" s="20"/>
      <c r="E119" s="7"/>
      <c r="F119" s="7"/>
      <c r="G119" s="7"/>
      <c r="H119" s="7"/>
      <c r="I119" s="7"/>
      <c r="J119" s="7"/>
      <c r="K119" s="7"/>
      <c r="L119" s="7"/>
      <c r="M119" s="74">
        <f t="shared" si="6"/>
        <v>0</v>
      </c>
      <c r="N119" s="75">
        <f t="shared" si="7"/>
        <v>0</v>
      </c>
      <c r="O119" s="18"/>
      <c r="P119" s="132"/>
    </row>
    <row r="120" spans="1:16" x14ac:dyDescent="0.35">
      <c r="A120" s="3"/>
      <c r="B120" s="72">
        <v>111</v>
      </c>
      <c r="C120" s="20"/>
      <c r="D120" s="20"/>
      <c r="E120" s="7"/>
      <c r="F120" s="7"/>
      <c r="G120" s="7"/>
      <c r="H120" s="7"/>
      <c r="I120" s="7"/>
      <c r="J120" s="7"/>
      <c r="K120" s="7"/>
      <c r="L120" s="7"/>
      <c r="M120" s="74">
        <f t="shared" si="6"/>
        <v>0</v>
      </c>
      <c r="N120" s="75">
        <f t="shared" si="7"/>
        <v>0</v>
      </c>
      <c r="O120" s="18"/>
      <c r="P120" s="132"/>
    </row>
    <row r="121" spans="1:16" x14ac:dyDescent="0.35">
      <c r="A121" s="3"/>
      <c r="B121" s="72">
        <v>112</v>
      </c>
      <c r="C121" s="20"/>
      <c r="D121" s="20"/>
      <c r="E121" s="7"/>
      <c r="F121" s="7"/>
      <c r="G121" s="7"/>
      <c r="H121" s="7"/>
      <c r="I121" s="7"/>
      <c r="J121" s="7"/>
      <c r="K121" s="7"/>
      <c r="L121" s="7"/>
      <c r="M121" s="74">
        <f t="shared" si="6"/>
        <v>0</v>
      </c>
      <c r="N121" s="75">
        <f t="shared" si="7"/>
        <v>0</v>
      </c>
      <c r="O121" s="18"/>
      <c r="P121" s="132"/>
    </row>
    <row r="122" spans="1:16" x14ac:dyDescent="0.35">
      <c r="A122" s="3"/>
      <c r="B122" s="72">
        <v>113</v>
      </c>
      <c r="C122" s="20"/>
      <c r="D122" s="20"/>
      <c r="E122" s="7"/>
      <c r="F122" s="7"/>
      <c r="G122" s="7"/>
      <c r="H122" s="7"/>
      <c r="I122" s="7"/>
      <c r="J122" s="7"/>
      <c r="K122" s="7"/>
      <c r="L122" s="7"/>
      <c r="M122" s="74">
        <f t="shared" si="6"/>
        <v>0</v>
      </c>
      <c r="N122" s="75">
        <f t="shared" si="7"/>
        <v>0</v>
      </c>
      <c r="O122" s="18"/>
      <c r="P122" s="132"/>
    </row>
    <row r="123" spans="1:16" x14ac:dyDescent="0.35">
      <c r="A123" s="3"/>
      <c r="B123" s="72">
        <v>114</v>
      </c>
      <c r="C123" s="20"/>
      <c r="D123" s="20"/>
      <c r="E123" s="7"/>
      <c r="F123" s="7"/>
      <c r="G123" s="7"/>
      <c r="H123" s="7"/>
      <c r="I123" s="7"/>
      <c r="J123" s="7"/>
      <c r="K123" s="7"/>
      <c r="L123" s="7"/>
      <c r="M123" s="74">
        <f t="shared" si="6"/>
        <v>0</v>
      </c>
      <c r="N123" s="75">
        <f t="shared" si="7"/>
        <v>0</v>
      </c>
      <c r="O123" s="18"/>
      <c r="P123" s="132"/>
    </row>
    <row r="124" spans="1:16" x14ac:dyDescent="0.35">
      <c r="A124" s="3"/>
      <c r="B124" s="72">
        <v>115</v>
      </c>
      <c r="C124" s="20"/>
      <c r="D124" s="20"/>
      <c r="E124" s="7"/>
      <c r="F124" s="7"/>
      <c r="G124" s="7"/>
      <c r="H124" s="7"/>
      <c r="I124" s="7"/>
      <c r="J124" s="7"/>
      <c r="K124" s="7"/>
      <c r="L124" s="7"/>
      <c r="M124" s="74">
        <f t="shared" si="6"/>
        <v>0</v>
      </c>
      <c r="N124" s="75">
        <f t="shared" si="7"/>
        <v>0</v>
      </c>
      <c r="O124" s="18"/>
      <c r="P124" s="132"/>
    </row>
    <row r="125" spans="1:16" x14ac:dyDescent="0.35">
      <c r="A125" s="3"/>
      <c r="B125" s="72">
        <v>116</v>
      </c>
      <c r="C125" s="20"/>
      <c r="D125" s="20"/>
      <c r="E125" s="7"/>
      <c r="F125" s="7"/>
      <c r="G125" s="7"/>
      <c r="H125" s="7"/>
      <c r="I125" s="7"/>
      <c r="J125" s="7"/>
      <c r="K125" s="7"/>
      <c r="L125" s="7"/>
      <c r="M125" s="74">
        <f t="shared" si="6"/>
        <v>0</v>
      </c>
      <c r="N125" s="75">
        <f t="shared" si="7"/>
        <v>0</v>
      </c>
      <c r="O125" s="18"/>
      <c r="P125" s="132"/>
    </row>
    <row r="126" spans="1:16" x14ac:dyDescent="0.35">
      <c r="A126" s="3"/>
      <c r="B126" s="72">
        <v>117</v>
      </c>
      <c r="C126" s="20"/>
      <c r="D126" s="20"/>
      <c r="E126" s="7"/>
      <c r="F126" s="7"/>
      <c r="G126" s="7"/>
      <c r="H126" s="7"/>
      <c r="I126" s="7"/>
      <c r="J126" s="7"/>
      <c r="K126" s="7"/>
      <c r="L126" s="7"/>
      <c r="M126" s="74">
        <f t="shared" si="6"/>
        <v>0</v>
      </c>
      <c r="N126" s="75">
        <f t="shared" si="7"/>
        <v>0</v>
      </c>
      <c r="O126" s="18"/>
      <c r="P126" s="132"/>
    </row>
    <row r="127" spans="1:16" x14ac:dyDescent="0.35">
      <c r="A127" s="3"/>
      <c r="B127" s="72">
        <v>118</v>
      </c>
      <c r="C127" s="20"/>
      <c r="D127" s="20"/>
      <c r="E127" s="7"/>
      <c r="F127" s="7"/>
      <c r="G127" s="7"/>
      <c r="H127" s="7"/>
      <c r="I127" s="7"/>
      <c r="J127" s="7"/>
      <c r="K127" s="7"/>
      <c r="L127" s="7"/>
      <c r="M127" s="74">
        <f t="shared" si="6"/>
        <v>0</v>
      </c>
      <c r="N127" s="75">
        <f t="shared" si="7"/>
        <v>0</v>
      </c>
      <c r="O127" s="18"/>
      <c r="P127" s="132"/>
    </row>
    <row r="128" spans="1:16" x14ac:dyDescent="0.35">
      <c r="A128" s="3"/>
      <c r="B128" s="72">
        <v>119</v>
      </c>
      <c r="C128" s="20"/>
      <c r="D128" s="20"/>
      <c r="E128" s="7"/>
      <c r="F128" s="7"/>
      <c r="G128" s="7"/>
      <c r="H128" s="7"/>
      <c r="I128" s="7"/>
      <c r="J128" s="7"/>
      <c r="K128" s="7"/>
      <c r="L128" s="7"/>
      <c r="M128" s="74">
        <f t="shared" si="6"/>
        <v>0</v>
      </c>
      <c r="N128" s="75">
        <f t="shared" si="7"/>
        <v>0</v>
      </c>
      <c r="O128" s="18"/>
      <c r="P128" s="132"/>
    </row>
    <row r="129" spans="1:16" x14ac:dyDescent="0.35">
      <c r="A129" s="3"/>
      <c r="B129" s="72">
        <v>120</v>
      </c>
      <c r="C129" s="20"/>
      <c r="D129" s="20"/>
      <c r="E129" s="7"/>
      <c r="F129" s="7"/>
      <c r="G129" s="7"/>
      <c r="H129" s="7"/>
      <c r="I129" s="7"/>
      <c r="J129" s="7"/>
      <c r="K129" s="7"/>
      <c r="L129" s="7"/>
      <c r="M129" s="74">
        <f t="shared" si="6"/>
        <v>0</v>
      </c>
      <c r="N129" s="75">
        <f t="shared" si="7"/>
        <v>0</v>
      </c>
      <c r="O129" s="18"/>
      <c r="P129" s="132"/>
    </row>
    <row r="130" spans="1:16" x14ac:dyDescent="0.35">
      <c r="A130" s="3"/>
      <c r="B130" s="72">
        <v>121</v>
      </c>
      <c r="C130" s="20"/>
      <c r="D130" s="20"/>
      <c r="E130" s="7"/>
      <c r="F130" s="7"/>
      <c r="G130" s="7"/>
      <c r="H130" s="7"/>
      <c r="I130" s="7"/>
      <c r="J130" s="7"/>
      <c r="K130" s="7"/>
      <c r="L130" s="7"/>
      <c r="M130" s="74">
        <f t="shared" si="6"/>
        <v>0</v>
      </c>
      <c r="N130" s="75">
        <f t="shared" si="7"/>
        <v>0</v>
      </c>
      <c r="O130" s="18"/>
      <c r="P130" s="132"/>
    </row>
    <row r="131" spans="1:16" x14ac:dyDescent="0.35">
      <c r="A131" s="3"/>
      <c r="B131" s="72">
        <v>122</v>
      </c>
      <c r="C131" s="20"/>
      <c r="D131" s="20"/>
      <c r="E131" s="7"/>
      <c r="F131" s="7"/>
      <c r="G131" s="7"/>
      <c r="H131" s="7"/>
      <c r="I131" s="7"/>
      <c r="J131" s="7"/>
      <c r="K131" s="7"/>
      <c r="L131" s="7"/>
      <c r="M131" s="74">
        <f t="shared" si="6"/>
        <v>0</v>
      </c>
      <c r="N131" s="75">
        <f t="shared" si="7"/>
        <v>0</v>
      </c>
      <c r="O131" s="18"/>
      <c r="P131" s="132"/>
    </row>
    <row r="132" spans="1:16" x14ac:dyDescent="0.35">
      <c r="A132" s="3"/>
      <c r="B132" s="72">
        <v>123</v>
      </c>
      <c r="C132" s="20"/>
      <c r="D132" s="20"/>
      <c r="E132" s="7"/>
      <c r="F132" s="7"/>
      <c r="G132" s="7"/>
      <c r="H132" s="7"/>
      <c r="I132" s="7"/>
      <c r="J132" s="7"/>
      <c r="K132" s="7"/>
      <c r="L132" s="7"/>
      <c r="M132" s="74">
        <f t="shared" si="6"/>
        <v>0</v>
      </c>
      <c r="N132" s="75">
        <f t="shared" si="7"/>
        <v>0</v>
      </c>
      <c r="O132" s="18"/>
      <c r="P132" s="132"/>
    </row>
    <row r="133" spans="1:16" x14ac:dyDescent="0.35">
      <c r="A133" s="3"/>
      <c r="B133" s="72">
        <v>124</v>
      </c>
      <c r="C133" s="20"/>
      <c r="D133" s="20"/>
      <c r="E133" s="7"/>
      <c r="F133" s="7"/>
      <c r="G133" s="7"/>
      <c r="H133" s="7"/>
      <c r="I133" s="7"/>
      <c r="J133" s="7"/>
      <c r="K133" s="7"/>
      <c r="L133" s="7"/>
      <c r="M133" s="74">
        <f t="shared" si="6"/>
        <v>0</v>
      </c>
      <c r="N133" s="75">
        <f t="shared" si="7"/>
        <v>0</v>
      </c>
      <c r="O133" s="18"/>
      <c r="P133" s="132"/>
    </row>
    <row r="134" spans="1:16" x14ac:dyDescent="0.35">
      <c r="A134" s="3"/>
      <c r="B134" s="72">
        <v>125</v>
      </c>
      <c r="C134" s="20"/>
      <c r="D134" s="20"/>
      <c r="E134" s="7"/>
      <c r="F134" s="7"/>
      <c r="G134" s="7"/>
      <c r="H134" s="7"/>
      <c r="I134" s="7"/>
      <c r="J134" s="7"/>
      <c r="K134" s="7"/>
      <c r="L134" s="7"/>
      <c r="M134" s="74">
        <f t="shared" si="6"/>
        <v>0</v>
      </c>
      <c r="N134" s="75">
        <f t="shared" si="7"/>
        <v>0</v>
      </c>
      <c r="O134" s="18"/>
      <c r="P134" s="132"/>
    </row>
    <row r="135" spans="1:16" x14ac:dyDescent="0.35">
      <c r="A135" s="3"/>
      <c r="B135" s="72">
        <v>126</v>
      </c>
      <c r="C135" s="20"/>
      <c r="D135" s="20"/>
      <c r="E135" s="7"/>
      <c r="F135" s="7"/>
      <c r="G135" s="7"/>
      <c r="H135" s="7"/>
      <c r="I135" s="7"/>
      <c r="J135" s="7"/>
      <c r="K135" s="7"/>
      <c r="L135" s="7"/>
      <c r="M135" s="74">
        <f t="shared" si="6"/>
        <v>0</v>
      </c>
      <c r="N135" s="75">
        <f t="shared" si="7"/>
        <v>0</v>
      </c>
      <c r="O135" s="18"/>
      <c r="P135" s="132"/>
    </row>
    <row r="136" spans="1:16" x14ac:dyDescent="0.35">
      <c r="A136" s="3"/>
      <c r="B136" s="72">
        <v>127</v>
      </c>
      <c r="C136" s="20"/>
      <c r="D136" s="20"/>
      <c r="E136" s="7"/>
      <c r="F136" s="7"/>
      <c r="G136" s="7"/>
      <c r="H136" s="7"/>
      <c r="I136" s="7"/>
      <c r="J136" s="7"/>
      <c r="K136" s="7"/>
      <c r="L136" s="7"/>
      <c r="M136" s="74">
        <f t="shared" si="6"/>
        <v>0</v>
      </c>
      <c r="N136" s="75">
        <f t="shared" si="7"/>
        <v>0</v>
      </c>
      <c r="O136" s="18"/>
      <c r="P136" s="132"/>
    </row>
    <row r="137" spans="1:16" x14ac:dyDescent="0.35">
      <c r="A137" s="3"/>
      <c r="B137" s="72">
        <v>128</v>
      </c>
      <c r="C137" s="20"/>
      <c r="D137" s="20"/>
      <c r="E137" s="7"/>
      <c r="F137" s="7"/>
      <c r="G137" s="7"/>
      <c r="H137" s="7"/>
      <c r="I137" s="7"/>
      <c r="J137" s="7"/>
      <c r="K137" s="7"/>
      <c r="L137" s="7"/>
      <c r="M137" s="74">
        <f t="shared" si="6"/>
        <v>0</v>
      </c>
      <c r="N137" s="75">
        <f t="shared" si="7"/>
        <v>0</v>
      </c>
      <c r="O137" s="18"/>
      <c r="P137" s="132"/>
    </row>
    <row r="138" spans="1:16" x14ac:dyDescent="0.35">
      <c r="A138" s="3"/>
      <c r="B138" s="72">
        <v>129</v>
      </c>
      <c r="C138" s="20"/>
      <c r="D138" s="20"/>
      <c r="E138" s="7"/>
      <c r="F138" s="7"/>
      <c r="G138" s="7"/>
      <c r="H138" s="7"/>
      <c r="I138" s="7"/>
      <c r="J138" s="7"/>
      <c r="K138" s="7"/>
      <c r="L138" s="7"/>
      <c r="M138" s="74">
        <f t="shared" si="6"/>
        <v>0</v>
      </c>
      <c r="N138" s="75">
        <f t="shared" si="7"/>
        <v>0</v>
      </c>
      <c r="O138" s="18"/>
      <c r="P138" s="132"/>
    </row>
    <row r="139" spans="1:16" x14ac:dyDescent="0.35">
      <c r="A139" s="3"/>
      <c r="B139" s="72">
        <v>130</v>
      </c>
      <c r="C139" s="20"/>
      <c r="D139" s="20"/>
      <c r="E139" s="7"/>
      <c r="F139" s="7"/>
      <c r="G139" s="7"/>
      <c r="H139" s="7"/>
      <c r="I139" s="7"/>
      <c r="J139" s="7"/>
      <c r="K139" s="7"/>
      <c r="L139" s="7"/>
      <c r="M139" s="74">
        <f t="shared" ref="M139:M158" si="8">D139</f>
        <v>0</v>
      </c>
      <c r="N139" s="75">
        <f t="shared" ref="N139:N158" si="9">D139</f>
        <v>0</v>
      </c>
      <c r="O139" s="18"/>
      <c r="P139" s="132"/>
    </row>
    <row r="140" spans="1:16" x14ac:dyDescent="0.35">
      <c r="A140" s="3"/>
      <c r="B140" s="72">
        <v>131</v>
      </c>
      <c r="C140" s="20"/>
      <c r="D140" s="20"/>
      <c r="E140" s="7"/>
      <c r="F140" s="7"/>
      <c r="G140" s="7"/>
      <c r="H140" s="7"/>
      <c r="I140" s="7"/>
      <c r="J140" s="7"/>
      <c r="K140" s="7"/>
      <c r="L140" s="7"/>
      <c r="M140" s="74">
        <f t="shared" si="8"/>
        <v>0</v>
      </c>
      <c r="N140" s="75">
        <f t="shared" si="9"/>
        <v>0</v>
      </c>
      <c r="O140" s="18"/>
      <c r="P140" s="132"/>
    </row>
    <row r="141" spans="1:16" x14ac:dyDescent="0.35">
      <c r="A141" s="3"/>
      <c r="B141" s="72">
        <v>132</v>
      </c>
      <c r="C141" s="20"/>
      <c r="D141" s="20"/>
      <c r="E141" s="7"/>
      <c r="F141" s="7"/>
      <c r="G141" s="7"/>
      <c r="H141" s="7"/>
      <c r="I141" s="7"/>
      <c r="J141" s="7"/>
      <c r="K141" s="7"/>
      <c r="L141" s="7"/>
      <c r="M141" s="74">
        <f t="shared" si="8"/>
        <v>0</v>
      </c>
      <c r="N141" s="75">
        <f t="shared" si="9"/>
        <v>0</v>
      </c>
      <c r="O141" s="18"/>
      <c r="P141" s="132"/>
    </row>
    <row r="142" spans="1:16" x14ac:dyDescent="0.35">
      <c r="A142" s="3"/>
      <c r="B142" s="72">
        <v>133</v>
      </c>
      <c r="C142" s="20"/>
      <c r="D142" s="20"/>
      <c r="E142" s="7"/>
      <c r="F142" s="7"/>
      <c r="G142" s="7"/>
      <c r="H142" s="7"/>
      <c r="I142" s="7"/>
      <c r="J142" s="7"/>
      <c r="K142" s="7"/>
      <c r="L142" s="7"/>
      <c r="M142" s="74">
        <f t="shared" si="8"/>
        <v>0</v>
      </c>
      <c r="N142" s="75">
        <f t="shared" si="9"/>
        <v>0</v>
      </c>
      <c r="O142" s="18"/>
      <c r="P142" s="132"/>
    </row>
    <row r="143" spans="1:16" x14ac:dyDescent="0.35">
      <c r="A143" s="3"/>
      <c r="B143" s="72">
        <v>134</v>
      </c>
      <c r="C143" s="20"/>
      <c r="D143" s="20"/>
      <c r="E143" s="7"/>
      <c r="F143" s="7"/>
      <c r="G143" s="7"/>
      <c r="H143" s="7"/>
      <c r="I143" s="7"/>
      <c r="J143" s="7"/>
      <c r="K143" s="7"/>
      <c r="L143" s="7"/>
      <c r="M143" s="74">
        <f t="shared" si="8"/>
        <v>0</v>
      </c>
      <c r="N143" s="75">
        <f t="shared" si="9"/>
        <v>0</v>
      </c>
      <c r="O143" s="18"/>
      <c r="P143" s="132"/>
    </row>
    <row r="144" spans="1:16" x14ac:dyDescent="0.35">
      <c r="A144" s="3"/>
      <c r="B144" s="72">
        <v>135</v>
      </c>
      <c r="C144" s="20"/>
      <c r="D144" s="20"/>
      <c r="E144" s="7"/>
      <c r="F144" s="7"/>
      <c r="G144" s="7"/>
      <c r="H144" s="7"/>
      <c r="I144" s="7"/>
      <c r="J144" s="7"/>
      <c r="K144" s="7"/>
      <c r="L144" s="7"/>
      <c r="M144" s="74">
        <f t="shared" si="8"/>
        <v>0</v>
      </c>
      <c r="N144" s="75">
        <f t="shared" si="9"/>
        <v>0</v>
      </c>
      <c r="O144" s="18"/>
      <c r="P144" s="132"/>
    </row>
    <row r="145" spans="1:16" x14ac:dyDescent="0.35">
      <c r="A145" s="3"/>
      <c r="B145" s="72">
        <v>136</v>
      </c>
      <c r="C145" s="20"/>
      <c r="D145" s="20"/>
      <c r="E145" s="7"/>
      <c r="F145" s="7"/>
      <c r="G145" s="7"/>
      <c r="H145" s="7"/>
      <c r="I145" s="7"/>
      <c r="J145" s="7"/>
      <c r="K145" s="7"/>
      <c r="L145" s="7"/>
      <c r="M145" s="74">
        <f t="shared" si="8"/>
        <v>0</v>
      </c>
      <c r="N145" s="75">
        <f t="shared" si="9"/>
        <v>0</v>
      </c>
      <c r="O145" s="18"/>
      <c r="P145" s="132"/>
    </row>
    <row r="146" spans="1:16" x14ac:dyDescent="0.35">
      <c r="A146" s="3"/>
      <c r="B146" s="72">
        <v>137</v>
      </c>
      <c r="C146" s="20"/>
      <c r="D146" s="20"/>
      <c r="E146" s="7"/>
      <c r="F146" s="7"/>
      <c r="G146" s="7"/>
      <c r="H146" s="7"/>
      <c r="I146" s="7"/>
      <c r="J146" s="7"/>
      <c r="K146" s="7"/>
      <c r="L146" s="7"/>
      <c r="M146" s="74">
        <f t="shared" si="8"/>
        <v>0</v>
      </c>
      <c r="N146" s="75">
        <f t="shared" si="9"/>
        <v>0</v>
      </c>
      <c r="O146" s="18"/>
      <c r="P146" s="132"/>
    </row>
    <row r="147" spans="1:16" x14ac:dyDescent="0.35">
      <c r="A147" s="3"/>
      <c r="B147" s="72">
        <v>138</v>
      </c>
      <c r="C147" s="20"/>
      <c r="D147" s="20"/>
      <c r="E147" s="7"/>
      <c r="F147" s="7"/>
      <c r="G147" s="7"/>
      <c r="H147" s="7"/>
      <c r="I147" s="7"/>
      <c r="J147" s="7"/>
      <c r="K147" s="7"/>
      <c r="L147" s="7"/>
      <c r="M147" s="74">
        <f t="shared" si="8"/>
        <v>0</v>
      </c>
      <c r="N147" s="75">
        <f t="shared" si="9"/>
        <v>0</v>
      </c>
      <c r="O147" s="18"/>
      <c r="P147" s="132"/>
    </row>
    <row r="148" spans="1:16" x14ac:dyDescent="0.35">
      <c r="A148" s="3"/>
      <c r="B148" s="72">
        <v>139</v>
      </c>
      <c r="C148" s="20"/>
      <c r="D148" s="20"/>
      <c r="E148" s="7"/>
      <c r="F148" s="7"/>
      <c r="G148" s="7"/>
      <c r="H148" s="7"/>
      <c r="I148" s="7"/>
      <c r="J148" s="7"/>
      <c r="K148" s="7"/>
      <c r="L148" s="7"/>
      <c r="M148" s="74">
        <f t="shared" si="8"/>
        <v>0</v>
      </c>
      <c r="N148" s="75">
        <f t="shared" si="9"/>
        <v>0</v>
      </c>
      <c r="O148" s="18"/>
      <c r="P148" s="132"/>
    </row>
    <row r="149" spans="1:16" x14ac:dyDescent="0.35">
      <c r="A149" s="3"/>
      <c r="B149" s="72">
        <v>140</v>
      </c>
      <c r="C149" s="20"/>
      <c r="D149" s="20"/>
      <c r="E149" s="7"/>
      <c r="F149" s="7"/>
      <c r="G149" s="7"/>
      <c r="H149" s="7"/>
      <c r="I149" s="7"/>
      <c r="J149" s="7"/>
      <c r="K149" s="7"/>
      <c r="L149" s="7"/>
      <c r="M149" s="74">
        <f t="shared" si="8"/>
        <v>0</v>
      </c>
      <c r="N149" s="75">
        <f t="shared" si="9"/>
        <v>0</v>
      </c>
      <c r="O149" s="18"/>
      <c r="P149" s="132"/>
    </row>
    <row r="150" spans="1:16" x14ac:dyDescent="0.35">
      <c r="A150" s="3"/>
      <c r="B150" s="72">
        <v>141</v>
      </c>
      <c r="C150" s="20"/>
      <c r="D150" s="20"/>
      <c r="E150" s="7"/>
      <c r="F150" s="7"/>
      <c r="G150" s="7"/>
      <c r="H150" s="7"/>
      <c r="I150" s="7"/>
      <c r="J150" s="7"/>
      <c r="K150" s="7"/>
      <c r="L150" s="7"/>
      <c r="M150" s="74">
        <f t="shared" si="8"/>
        <v>0</v>
      </c>
      <c r="N150" s="75">
        <f t="shared" si="9"/>
        <v>0</v>
      </c>
      <c r="O150" s="18"/>
      <c r="P150" s="132"/>
    </row>
    <row r="151" spans="1:16" x14ac:dyDescent="0.35">
      <c r="A151" s="3"/>
      <c r="B151" s="72">
        <v>142</v>
      </c>
      <c r="C151" s="20"/>
      <c r="D151" s="20"/>
      <c r="E151" s="7"/>
      <c r="F151" s="7"/>
      <c r="G151" s="7"/>
      <c r="H151" s="7"/>
      <c r="I151" s="7"/>
      <c r="J151" s="7"/>
      <c r="K151" s="7"/>
      <c r="L151" s="7"/>
      <c r="M151" s="74">
        <f t="shared" si="8"/>
        <v>0</v>
      </c>
      <c r="N151" s="75">
        <f t="shared" si="9"/>
        <v>0</v>
      </c>
      <c r="O151" s="18"/>
      <c r="P151" s="132"/>
    </row>
    <row r="152" spans="1:16" x14ac:dyDescent="0.35">
      <c r="A152" s="3"/>
      <c r="B152" s="72">
        <v>143</v>
      </c>
      <c r="C152" s="20"/>
      <c r="D152" s="20"/>
      <c r="E152" s="7"/>
      <c r="F152" s="7"/>
      <c r="G152" s="7"/>
      <c r="H152" s="7"/>
      <c r="I152" s="7"/>
      <c r="J152" s="7"/>
      <c r="K152" s="7"/>
      <c r="L152" s="7"/>
      <c r="M152" s="74">
        <f t="shared" si="8"/>
        <v>0</v>
      </c>
      <c r="N152" s="75">
        <f t="shared" si="9"/>
        <v>0</v>
      </c>
      <c r="O152" s="18"/>
      <c r="P152" s="132"/>
    </row>
    <row r="153" spans="1:16" x14ac:dyDescent="0.35">
      <c r="A153" s="3"/>
      <c r="B153" s="72">
        <v>144</v>
      </c>
      <c r="C153" s="20"/>
      <c r="D153" s="49"/>
      <c r="E153" s="7"/>
      <c r="F153" s="48"/>
      <c r="G153" s="48"/>
      <c r="H153" s="7"/>
      <c r="I153" s="7"/>
      <c r="J153" s="7"/>
      <c r="K153" s="7"/>
      <c r="L153" s="7"/>
      <c r="M153" s="74">
        <f t="shared" si="8"/>
        <v>0</v>
      </c>
      <c r="N153" s="75">
        <f t="shared" si="9"/>
        <v>0</v>
      </c>
      <c r="O153" s="18"/>
      <c r="P153" s="132"/>
    </row>
    <row r="154" spans="1:16" x14ac:dyDescent="0.35">
      <c r="A154" s="3"/>
      <c r="B154" s="72">
        <v>145</v>
      </c>
      <c r="C154" s="20"/>
      <c r="D154" s="49"/>
      <c r="E154" s="7"/>
      <c r="F154" s="48"/>
      <c r="G154" s="48"/>
      <c r="H154" s="7"/>
      <c r="I154" s="7"/>
      <c r="J154" s="7"/>
      <c r="K154" s="7"/>
      <c r="L154" s="7"/>
      <c r="M154" s="74">
        <f t="shared" si="8"/>
        <v>0</v>
      </c>
      <c r="N154" s="75">
        <f t="shared" si="9"/>
        <v>0</v>
      </c>
      <c r="O154" s="18"/>
      <c r="P154" s="132"/>
    </row>
    <row r="155" spans="1:16" x14ac:dyDescent="0.35">
      <c r="A155" s="3"/>
      <c r="B155" s="72">
        <v>146</v>
      </c>
      <c r="C155" s="20"/>
      <c r="D155" s="49"/>
      <c r="E155" s="7"/>
      <c r="F155" s="48"/>
      <c r="G155" s="48"/>
      <c r="H155" s="7"/>
      <c r="I155" s="7"/>
      <c r="J155" s="7"/>
      <c r="K155" s="7"/>
      <c r="L155" s="7"/>
      <c r="M155" s="74">
        <f t="shared" si="8"/>
        <v>0</v>
      </c>
      <c r="N155" s="75">
        <f t="shared" si="9"/>
        <v>0</v>
      </c>
      <c r="O155" s="18"/>
      <c r="P155" s="132"/>
    </row>
    <row r="156" spans="1:16" x14ac:dyDescent="0.35">
      <c r="A156" s="3"/>
      <c r="B156" s="72">
        <v>147</v>
      </c>
      <c r="C156" s="20"/>
      <c r="D156" s="49"/>
      <c r="E156" s="7"/>
      <c r="F156" s="48"/>
      <c r="G156" s="48"/>
      <c r="H156" s="7"/>
      <c r="I156" s="7"/>
      <c r="J156" s="7"/>
      <c r="K156" s="7"/>
      <c r="L156" s="7"/>
      <c r="M156" s="74">
        <f t="shared" si="8"/>
        <v>0</v>
      </c>
      <c r="N156" s="75">
        <f t="shared" si="9"/>
        <v>0</v>
      </c>
      <c r="O156" s="18"/>
      <c r="P156" s="132"/>
    </row>
    <row r="157" spans="1:16" x14ac:dyDescent="0.35">
      <c r="A157" s="3"/>
      <c r="B157" s="72">
        <v>148</v>
      </c>
      <c r="C157" s="20"/>
      <c r="D157" s="49"/>
      <c r="E157" s="7"/>
      <c r="F157" s="48"/>
      <c r="G157" s="48"/>
      <c r="H157" s="7"/>
      <c r="I157" s="7"/>
      <c r="J157" s="7"/>
      <c r="K157" s="7"/>
      <c r="L157" s="7"/>
      <c r="M157" s="74">
        <f t="shared" si="8"/>
        <v>0</v>
      </c>
      <c r="N157" s="75">
        <f t="shared" si="9"/>
        <v>0</v>
      </c>
      <c r="O157" s="18"/>
      <c r="P157" s="132"/>
    </row>
    <row r="158" spans="1:16" x14ac:dyDescent="0.35">
      <c r="A158" s="3"/>
      <c r="B158" s="72">
        <v>149</v>
      </c>
      <c r="C158" s="20"/>
      <c r="D158" s="49"/>
      <c r="E158" s="7"/>
      <c r="F158" s="48"/>
      <c r="G158" s="48"/>
      <c r="H158" s="7"/>
      <c r="I158" s="7"/>
      <c r="J158" s="7"/>
      <c r="K158" s="7"/>
      <c r="L158" s="7"/>
      <c r="M158" s="74">
        <f t="shared" si="8"/>
        <v>0</v>
      </c>
      <c r="N158" s="75">
        <f t="shared" si="9"/>
        <v>0</v>
      </c>
      <c r="O158" s="18"/>
      <c r="P158" s="132"/>
    </row>
    <row r="159" spans="1:16" ht="15" thickBot="1" x14ac:dyDescent="0.4">
      <c r="A159" s="8"/>
      <c r="B159" s="73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133"/>
    </row>
  </sheetData>
  <mergeCells count="3">
    <mergeCell ref="P9:P159"/>
    <mergeCell ref="A1:A8"/>
    <mergeCell ref="B1:P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9F3B2-E11F-4C92-9B60-BEDC47C980AC}">
  <sheetPr>
    <pageSetUpPr fitToPage="1"/>
  </sheetPr>
  <dimension ref="A1:N55"/>
  <sheetViews>
    <sheetView tabSelected="1" topLeftCell="C23" zoomScale="81" zoomScaleNormal="152" zoomScaleSheetLayoutView="95" workbookViewId="0">
      <selection activeCell="F40" sqref="F40"/>
    </sheetView>
  </sheetViews>
  <sheetFormatPr defaultRowHeight="15.5" x14ac:dyDescent="0.35"/>
  <cols>
    <col min="1" max="1" width="3.453125" style="90" customWidth="1"/>
    <col min="2" max="2" width="4.08984375" style="90" customWidth="1"/>
    <col min="3" max="3" width="20.7265625" style="90" customWidth="1"/>
    <col min="4" max="4" width="1.6328125" style="90" customWidth="1"/>
    <col min="5" max="5" width="6.81640625" style="90" customWidth="1"/>
    <col min="6" max="6" width="65.6328125" style="90" customWidth="1"/>
    <col min="7" max="7" width="7.453125" style="90" customWidth="1"/>
    <col min="8" max="8" width="11.1796875" style="90" bestFit="1" customWidth="1"/>
    <col min="9" max="16384" width="8.7265625" style="90"/>
  </cols>
  <sheetData>
    <row r="1" spans="1:8" x14ac:dyDescent="0.35">
      <c r="A1" s="89"/>
      <c r="B1" s="89"/>
      <c r="C1" s="146" t="str">
        <f>DATA!D2</f>
        <v>PEMERINTAH KABUPATEN SUMBA BARAT DAYA</v>
      </c>
      <c r="D1" s="146"/>
      <c r="E1" s="146"/>
      <c r="F1" s="146"/>
    </row>
    <row r="2" spans="1:8" ht="20.25" customHeight="1" x14ac:dyDescent="0.35">
      <c r="A2" s="89"/>
      <c r="B2" s="89"/>
      <c r="C2" s="150" t="str">
        <f>DATA!D3</f>
        <v>DINAS KOMUNIKASI DAN INFORMATIKA</v>
      </c>
      <c r="D2" s="150"/>
      <c r="E2" s="150"/>
      <c r="F2" s="150"/>
    </row>
    <row r="3" spans="1:8" x14ac:dyDescent="0.35">
      <c r="A3" s="89"/>
      <c r="B3" s="89"/>
      <c r="C3" s="147"/>
      <c r="D3" s="147"/>
      <c r="E3" s="147"/>
      <c r="F3" s="147"/>
    </row>
    <row r="4" spans="1:8" x14ac:dyDescent="0.35">
      <c r="A4" s="89"/>
      <c r="B4" s="89"/>
      <c r="C4" s="148" t="str">
        <f>DATA!D5</f>
        <v xml:space="preserve"> Jln.Ir. Soekarno, Kadula, kec. Kota. Tambolaka, Kab. SBD, Prov. NTT. Email: @gmail.com</v>
      </c>
      <c r="D4" s="148"/>
      <c r="E4" s="148"/>
      <c r="F4" s="148"/>
    </row>
    <row r="5" spans="1:8" x14ac:dyDescent="0.35">
      <c r="A5" s="89"/>
      <c r="B5" s="89"/>
      <c r="C5" s="149" t="str">
        <f>"Kode pos "&amp;DATA!D6&amp;""</f>
        <v>Kode pos 87261</v>
      </c>
      <c r="D5" s="149"/>
      <c r="E5" s="149"/>
      <c r="F5" s="149"/>
    </row>
    <row r="6" spans="1:8" x14ac:dyDescent="0.35">
      <c r="A6" s="89"/>
      <c r="B6" s="89"/>
      <c r="C6" s="89"/>
      <c r="D6" s="89"/>
      <c r="E6" s="89"/>
      <c r="F6" s="89"/>
    </row>
    <row r="7" spans="1:8" x14ac:dyDescent="0.35">
      <c r="A7" s="138" t="s">
        <v>3</v>
      </c>
      <c r="B7" s="138"/>
      <c r="C7" s="138"/>
      <c r="D7" s="138"/>
      <c r="E7" s="138"/>
      <c r="F7" s="138"/>
    </row>
    <row r="8" spans="1:8" x14ac:dyDescent="0.35">
      <c r="A8" s="139" t="str">
        <f>"Nomor : "&amp;VLOOKUP(H12,DATA!B10:O158,2,FALSE)&amp;""</f>
        <v xml:space="preserve">Nomor : </v>
      </c>
      <c r="B8" s="139"/>
      <c r="C8" s="139"/>
      <c r="D8" s="139"/>
      <c r="E8" s="139"/>
      <c r="F8" s="139"/>
    </row>
    <row r="9" spans="1:8" x14ac:dyDescent="0.35">
      <c r="A9" s="89"/>
      <c r="B9" s="89"/>
      <c r="C9" s="89"/>
      <c r="D9" s="89"/>
      <c r="E9" s="89"/>
      <c r="F9" s="89"/>
    </row>
    <row r="10" spans="1:8" s="93" customFormat="1" ht="17" customHeight="1" x14ac:dyDescent="0.35">
      <c r="A10" s="91">
        <v>1</v>
      </c>
      <c r="B10" s="143" t="s">
        <v>4</v>
      </c>
      <c r="C10" s="144"/>
      <c r="D10" s="144"/>
      <c r="E10" s="145"/>
      <c r="F10" s="92" t="str">
        <f>"Kepala Dinas Komunikasi dan Informatika"&amp;DATA!D4&amp;""</f>
        <v>Kepala Dinas Komunikasi dan Informatika</v>
      </c>
    </row>
    <row r="11" spans="1:8" s="93" customFormat="1" ht="17" customHeight="1" thickBot="1" x14ac:dyDescent="0.4">
      <c r="A11" s="140">
        <v>2</v>
      </c>
      <c r="B11" s="151" t="s">
        <v>5</v>
      </c>
      <c r="C11" s="152"/>
      <c r="D11" s="152"/>
      <c r="E11" s="153"/>
      <c r="F11" s="94"/>
    </row>
    <row r="12" spans="1:8" s="93" customFormat="1" ht="17" customHeight="1" x14ac:dyDescent="0.35">
      <c r="A12" s="141"/>
      <c r="B12" s="97"/>
      <c r="C12" s="98" t="s">
        <v>52</v>
      </c>
      <c r="D12" s="98"/>
      <c r="E12" s="99"/>
      <c r="F12" s="100" t="str">
        <f>VLOOKUP(H12,DATA!B10:O158,4,FALSE)</f>
        <v>Nikodemus U. Diala, A.Md</v>
      </c>
      <c r="H12" s="154">
        <v>17</v>
      </c>
    </row>
    <row r="13" spans="1:8" s="93" customFormat="1" ht="17" customHeight="1" x14ac:dyDescent="0.35">
      <c r="A13" s="141"/>
      <c r="B13" s="97"/>
      <c r="C13" s="98" t="s">
        <v>51</v>
      </c>
      <c r="D13" s="98"/>
      <c r="E13" s="99"/>
      <c r="F13" s="100" t="str">
        <f>VLOOKUP(H12,DATA!B10:O158,5,FALSE)</f>
        <v>19791119 200604 1 011</v>
      </c>
      <c r="H13" s="155"/>
    </row>
    <row r="14" spans="1:8" s="93" customFormat="1" ht="17" customHeight="1" thickBot="1" x14ac:dyDescent="0.4">
      <c r="A14" s="141"/>
      <c r="B14" s="97"/>
      <c r="C14" s="101" t="s">
        <v>49</v>
      </c>
      <c r="D14" s="101"/>
      <c r="E14" s="102"/>
      <c r="F14" s="96" t="str">
        <f>VLOOKUP(H12,DATA!B10:O158,6,FALSE)</f>
        <v>III/B</v>
      </c>
      <c r="H14" s="156"/>
    </row>
    <row r="15" spans="1:8" s="93" customFormat="1" ht="17" customHeight="1" x14ac:dyDescent="0.35">
      <c r="A15" s="142"/>
      <c r="B15" s="104"/>
      <c r="C15" s="105" t="s">
        <v>50</v>
      </c>
      <c r="D15" s="105"/>
      <c r="E15" s="106"/>
      <c r="F15" s="103" t="str">
        <f>VLOOKUP(H12,DATA!B10:O158,7,FALSE)</f>
        <v xml:space="preserve">Kasubag Kepegawaian </v>
      </c>
    </row>
    <row r="16" spans="1:8" s="93" customFormat="1" ht="17" customHeight="1" x14ac:dyDescent="0.35">
      <c r="A16" s="140">
        <v>3</v>
      </c>
      <c r="B16" s="151" t="s">
        <v>6</v>
      </c>
      <c r="C16" s="152"/>
      <c r="D16" s="152"/>
      <c r="E16" s="153"/>
      <c r="F16" s="107"/>
    </row>
    <row r="17" spans="1:6" s="93" customFormat="1" ht="17" customHeight="1" x14ac:dyDescent="0.35">
      <c r="A17" s="141"/>
      <c r="B17" s="108"/>
      <c r="C17" s="109" t="s">
        <v>16</v>
      </c>
      <c r="D17" s="109"/>
      <c r="E17" s="110"/>
      <c r="F17" s="111" t="str">
        <f>VLOOKUP(H12,DATA!B10:O158,8,FALSE)</f>
        <v>TAMBOLAKA</v>
      </c>
    </row>
    <row r="18" spans="1:6" s="93" customFormat="1" ht="17" customHeight="1" x14ac:dyDescent="0.35">
      <c r="A18" s="141"/>
      <c r="B18" s="108"/>
      <c r="C18" s="109" t="s">
        <v>17</v>
      </c>
      <c r="D18" s="109"/>
      <c r="E18" s="110"/>
      <c r="F18" s="111" t="str">
        <f>VLOOKUP(H12,DATA!B10:O158,9,FALSE)</f>
        <v>KUPANG</v>
      </c>
    </row>
    <row r="19" spans="1:6" s="93" customFormat="1" ht="17" customHeight="1" x14ac:dyDescent="0.35">
      <c r="A19" s="142"/>
      <c r="B19" s="104"/>
      <c r="C19" s="112" t="s">
        <v>18</v>
      </c>
      <c r="D19" s="112"/>
      <c r="E19" s="113"/>
      <c r="F19" s="114" t="str">
        <f>VLOOKUP(H12,DATA!B10:O158,10,FALSE)</f>
        <v>Umum</v>
      </c>
    </row>
    <row r="20" spans="1:6" s="93" customFormat="1" ht="17" customHeight="1" x14ac:dyDescent="0.35">
      <c r="A20" s="140">
        <v>4</v>
      </c>
      <c r="B20" s="151" t="s">
        <v>7</v>
      </c>
      <c r="C20" s="152"/>
      <c r="D20" s="152"/>
      <c r="E20" s="153"/>
      <c r="F20" s="115"/>
    </row>
    <row r="21" spans="1:6" s="93" customFormat="1" ht="17" customHeight="1" x14ac:dyDescent="0.35">
      <c r="A21" s="141"/>
      <c r="B21" s="108"/>
      <c r="C21" s="109" t="s">
        <v>19</v>
      </c>
      <c r="D21" s="109"/>
      <c r="E21" s="110"/>
      <c r="F21" s="100">
        <f>VLOOKUP(H12,DATA!B10:O158,11,FALSE)</f>
        <v>0</v>
      </c>
    </row>
    <row r="22" spans="1:6" s="93" customFormat="1" ht="17" customHeight="1" x14ac:dyDescent="0.35">
      <c r="A22" s="141"/>
      <c r="B22" s="108"/>
      <c r="C22" s="109" t="s">
        <v>20</v>
      </c>
      <c r="D22" s="109"/>
      <c r="E22" s="110"/>
      <c r="F22" s="99">
        <f>VLOOKUP(H12,DATA!B10:O158,12,FALSE)</f>
        <v>0</v>
      </c>
    </row>
    <row r="23" spans="1:6" s="93" customFormat="1" ht="17" customHeight="1" x14ac:dyDescent="0.35">
      <c r="A23" s="142"/>
      <c r="B23" s="104"/>
      <c r="C23" s="112" t="s">
        <v>21</v>
      </c>
      <c r="D23" s="112"/>
      <c r="E23" s="113"/>
      <c r="F23" s="116">
        <f>VLOOKUP(H12,DATA!B10:O158,13,FALSE)</f>
        <v>0</v>
      </c>
    </row>
    <row r="24" spans="1:6" s="93" customFormat="1" ht="17" customHeight="1" x14ac:dyDescent="0.35">
      <c r="A24" s="91">
        <v>5</v>
      </c>
      <c r="B24" s="161" t="s">
        <v>53</v>
      </c>
      <c r="C24" s="162"/>
      <c r="D24" s="162"/>
      <c r="E24" s="163"/>
      <c r="F24" s="117">
        <f>VLOOKUP(H12,DATA!B10:O158,14,FALSE)</f>
        <v>0</v>
      </c>
    </row>
    <row r="25" spans="1:6" s="93" customFormat="1" ht="17" customHeight="1" x14ac:dyDescent="0.35">
      <c r="A25" s="140">
        <v>6</v>
      </c>
      <c r="B25" s="151" t="s">
        <v>8</v>
      </c>
      <c r="C25" s="152"/>
      <c r="D25" s="152"/>
      <c r="E25" s="153"/>
      <c r="F25" s="95"/>
    </row>
    <row r="26" spans="1:6" s="93" customFormat="1" ht="17" customHeight="1" x14ac:dyDescent="0.35">
      <c r="A26" s="141"/>
      <c r="B26" s="97"/>
      <c r="C26" s="98" t="s">
        <v>22</v>
      </c>
      <c r="D26" s="98"/>
      <c r="E26" s="99"/>
      <c r="F26" s="100"/>
    </row>
    <row r="27" spans="1:6" s="93" customFormat="1" ht="17" customHeight="1" x14ac:dyDescent="0.35">
      <c r="A27" s="142"/>
      <c r="B27" s="118"/>
      <c r="C27" s="112" t="s">
        <v>152</v>
      </c>
      <c r="D27" s="112"/>
      <c r="E27" s="113"/>
      <c r="F27" s="113"/>
    </row>
    <row r="28" spans="1:6" s="93" customFormat="1" ht="17" customHeight="1" x14ac:dyDescent="0.35">
      <c r="A28" s="119">
        <v>7</v>
      </c>
      <c r="B28" s="158" t="s">
        <v>153</v>
      </c>
      <c r="C28" s="159"/>
      <c r="D28" s="159"/>
      <c r="E28" s="160"/>
      <c r="F28" s="117"/>
    </row>
    <row r="29" spans="1:6" s="93" customFormat="1" ht="17" customHeight="1" x14ac:dyDescent="0.35"/>
    <row r="30" spans="1:6" s="93" customFormat="1" ht="19.5" customHeight="1" x14ac:dyDescent="0.35">
      <c r="A30" s="120"/>
      <c r="B30" s="120"/>
      <c r="C30" s="120"/>
      <c r="D30" s="120"/>
      <c r="E30" s="120"/>
      <c r="F30" s="126" t="s">
        <v>148</v>
      </c>
    </row>
    <row r="31" spans="1:6" s="93" customFormat="1" ht="19.5" customHeight="1" x14ac:dyDescent="0.35">
      <c r="A31" s="120"/>
      <c r="B31" s="120"/>
      <c r="C31" s="120"/>
      <c r="D31" s="120"/>
      <c r="E31" s="120"/>
      <c r="F31" s="126" t="s">
        <v>149</v>
      </c>
    </row>
    <row r="32" spans="1:6" s="93" customFormat="1" ht="47" customHeight="1" x14ac:dyDescent="0.35">
      <c r="A32" s="121"/>
      <c r="B32" s="121"/>
      <c r="C32" s="121"/>
      <c r="D32" s="121"/>
      <c r="E32" s="121"/>
      <c r="F32" s="127" t="s">
        <v>154</v>
      </c>
    </row>
    <row r="33" spans="1:14" s="93" customFormat="1" ht="35" hidden="1" customHeight="1" x14ac:dyDescent="0.35">
      <c r="A33" s="121"/>
      <c r="B33" s="121"/>
      <c r="C33" s="121"/>
      <c r="D33" s="121"/>
      <c r="E33" s="121"/>
      <c r="F33" s="127"/>
    </row>
    <row r="34" spans="1:14" s="93" customFormat="1" ht="19.5" customHeight="1" x14ac:dyDescent="0.35">
      <c r="A34" s="122"/>
      <c r="B34" s="122"/>
      <c r="C34" s="122"/>
      <c r="D34" s="122"/>
      <c r="E34" s="122"/>
      <c r="F34" s="126"/>
      <c r="L34" s="93" t="s">
        <v>155</v>
      </c>
    </row>
    <row r="35" spans="1:14" s="93" customFormat="1" ht="12.5" customHeight="1" x14ac:dyDescent="0.35">
      <c r="A35" s="122"/>
      <c r="B35" s="122"/>
      <c r="C35" s="122"/>
      <c r="D35" s="122"/>
      <c r="E35" s="122"/>
      <c r="F35" s="126"/>
    </row>
    <row r="36" spans="1:14" x14ac:dyDescent="0.35">
      <c r="A36" s="123"/>
      <c r="B36" s="123"/>
      <c r="C36" s="123"/>
      <c r="D36" s="123"/>
      <c r="E36" s="123"/>
      <c r="F36" s="127"/>
    </row>
    <row r="37" spans="1:14" x14ac:dyDescent="0.35">
      <c r="A37" s="123"/>
      <c r="B37" s="123"/>
      <c r="C37" s="123"/>
      <c r="D37" s="123"/>
      <c r="E37" s="123"/>
      <c r="F37" s="128"/>
    </row>
    <row r="38" spans="1:14" x14ac:dyDescent="0.35">
      <c r="A38" s="123"/>
      <c r="B38" s="123"/>
      <c r="C38" s="123"/>
      <c r="D38" s="123"/>
      <c r="E38" s="123"/>
      <c r="F38" s="128"/>
    </row>
    <row r="39" spans="1:14" ht="2" customHeight="1" x14ac:dyDescent="0.35">
      <c r="A39" s="123"/>
      <c r="B39" s="123"/>
      <c r="C39" s="123"/>
      <c r="D39" s="123"/>
      <c r="E39" s="123"/>
      <c r="F39" s="128"/>
    </row>
    <row r="40" spans="1:14" ht="21" customHeight="1" x14ac:dyDescent="0.35">
      <c r="A40" s="123"/>
      <c r="B40" s="123"/>
      <c r="C40" s="123"/>
      <c r="D40" s="123"/>
      <c r="E40" s="125"/>
      <c r="F40" s="131" t="s">
        <v>156</v>
      </c>
      <c r="N40" s="124"/>
    </row>
    <row r="41" spans="1:14" x14ac:dyDescent="0.35">
      <c r="A41" s="123"/>
      <c r="B41" s="123"/>
      <c r="C41" s="123"/>
      <c r="D41" s="123"/>
      <c r="E41" s="123"/>
      <c r="F41" s="129" t="s">
        <v>150</v>
      </c>
    </row>
    <row r="42" spans="1:14" x14ac:dyDescent="0.35">
      <c r="A42" s="123"/>
      <c r="B42" s="123"/>
      <c r="C42" s="123"/>
      <c r="D42" s="123"/>
      <c r="E42" s="123"/>
      <c r="F42" s="130" t="str">
        <f>"NIP. "&amp;DATA!D8&amp;""</f>
        <v>NIP. 19680523 199803 1 005</v>
      </c>
    </row>
    <row r="43" spans="1:14" x14ac:dyDescent="0.35">
      <c r="A43" s="123"/>
      <c r="B43" s="123"/>
      <c r="C43" s="123"/>
      <c r="D43" s="123"/>
      <c r="E43" s="123"/>
      <c r="F43" s="89"/>
    </row>
    <row r="44" spans="1:14" x14ac:dyDescent="0.35">
      <c r="A44" s="157"/>
      <c r="B44" s="157"/>
      <c r="C44" s="157"/>
      <c r="D44" s="157"/>
      <c r="E44" s="157"/>
      <c r="F44" s="157"/>
    </row>
    <row r="45" spans="1:14" x14ac:dyDescent="0.35">
      <c r="A45" s="89"/>
      <c r="B45" s="89"/>
      <c r="C45" s="89"/>
      <c r="D45" s="89"/>
      <c r="E45" s="89"/>
      <c r="F45" s="89"/>
    </row>
    <row r="46" spans="1:14" x14ac:dyDescent="0.35">
      <c r="A46" s="89"/>
      <c r="B46" s="89"/>
      <c r="C46" s="89"/>
      <c r="D46" s="89"/>
      <c r="E46" s="89"/>
      <c r="F46" s="89"/>
    </row>
    <row r="47" spans="1:14" x14ac:dyDescent="0.35">
      <c r="A47" s="89"/>
      <c r="B47" s="89"/>
      <c r="C47" s="89"/>
      <c r="D47" s="89"/>
      <c r="E47" s="89"/>
      <c r="F47" s="89"/>
    </row>
    <row r="48" spans="1:14" x14ac:dyDescent="0.35">
      <c r="F48" s="89"/>
      <c r="J48" s="90" t="s">
        <v>151</v>
      </c>
    </row>
    <row r="49" spans="6:6" x14ac:dyDescent="0.35">
      <c r="F49" s="89"/>
    </row>
    <row r="50" spans="6:6" x14ac:dyDescent="0.35">
      <c r="F50" s="89"/>
    </row>
    <row r="51" spans="6:6" x14ac:dyDescent="0.35">
      <c r="F51" s="89"/>
    </row>
    <row r="52" spans="6:6" x14ac:dyDescent="0.35">
      <c r="F52" s="89"/>
    </row>
    <row r="53" spans="6:6" x14ac:dyDescent="0.35">
      <c r="F53" s="89"/>
    </row>
    <row r="54" spans="6:6" x14ac:dyDescent="0.35">
      <c r="F54" s="89"/>
    </row>
    <row r="55" spans="6:6" x14ac:dyDescent="0.35">
      <c r="F55" s="89"/>
    </row>
  </sheetData>
  <mergeCells count="20">
    <mergeCell ref="A20:A23"/>
    <mergeCell ref="A25:A27"/>
    <mergeCell ref="B11:E11"/>
    <mergeCell ref="H12:H14"/>
    <mergeCell ref="A44:F44"/>
    <mergeCell ref="B28:E28"/>
    <mergeCell ref="B20:E20"/>
    <mergeCell ref="B24:E24"/>
    <mergeCell ref="B25:E25"/>
    <mergeCell ref="B16:E16"/>
    <mergeCell ref="A16:A19"/>
    <mergeCell ref="A7:F7"/>
    <mergeCell ref="A8:F8"/>
    <mergeCell ref="A11:A15"/>
    <mergeCell ref="B10:E10"/>
    <mergeCell ref="C1:F1"/>
    <mergeCell ref="C3:F3"/>
    <mergeCell ref="C4:F4"/>
    <mergeCell ref="C5:F5"/>
    <mergeCell ref="C2:F2"/>
  </mergeCells>
  <printOptions horizontalCentered="1" verticalCentered="1"/>
  <pageMargins left="0.70866141732283472" right="0.51181102362204722" top="0.47244094488188981" bottom="0.43307086614173229" header="0.31496062992125984" footer="0.31496062992125984"/>
  <pageSetup scale="85" orientation="portrait" horizontalDpi="72" verticalDpi="72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Spinner 2">
              <controlPr defaultSize="0" autoPict="0">
                <anchor moveWithCells="1" sizeWithCells="1">
                  <from>
                    <xdr:col>8</xdr:col>
                    <xdr:colOff>31750</xdr:colOff>
                    <xdr:row>11</xdr:row>
                    <xdr:rowOff>12700</xdr:rowOff>
                  </from>
                  <to>
                    <xdr:col>8</xdr:col>
                    <xdr:colOff>596900</xdr:colOff>
                    <xdr:row>14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0090C-9C46-4093-B900-64B98E4F6706}">
  <sheetPr>
    <pageSetUpPr fitToPage="1"/>
  </sheetPr>
  <dimension ref="A1:J46"/>
  <sheetViews>
    <sheetView topLeftCell="A5" zoomScale="62" zoomScaleNormal="70" zoomScaleSheetLayoutView="95" workbookViewId="0">
      <selection activeCell="C18" sqref="C18"/>
    </sheetView>
  </sheetViews>
  <sheetFormatPr defaultRowHeight="14.5" x14ac:dyDescent="0.35"/>
  <cols>
    <col min="1" max="1" width="13.1796875" customWidth="1"/>
    <col min="2" max="2" width="1.90625" customWidth="1"/>
    <col min="3" max="3" width="48.453125" customWidth="1"/>
    <col min="4" max="4" width="22.81640625" customWidth="1"/>
    <col min="5" max="5" width="11.08984375" customWidth="1"/>
    <col min="6" max="6" width="15.90625" customWidth="1"/>
    <col min="8" max="8" width="11.453125" customWidth="1"/>
    <col min="9" max="9" width="8.7265625" customWidth="1"/>
  </cols>
  <sheetData>
    <row r="1" spans="1:10" ht="20.25" customHeight="1" x14ac:dyDescent="0.35">
      <c r="A1" s="41"/>
      <c r="B1" s="41"/>
      <c r="C1" s="83" t="s">
        <v>147</v>
      </c>
      <c r="D1" s="84"/>
      <c r="E1" s="79"/>
      <c r="F1" s="50"/>
      <c r="G1" s="82"/>
      <c r="H1" s="82"/>
      <c r="I1" s="82"/>
      <c r="J1" s="82"/>
    </row>
    <row r="2" spans="1:10" ht="15.5" x14ac:dyDescent="0.35">
      <c r="A2" s="42"/>
      <c r="B2" s="42"/>
      <c r="C2" s="85" t="s">
        <v>142</v>
      </c>
      <c r="D2" s="86"/>
      <c r="E2" s="80"/>
      <c r="F2" s="50"/>
      <c r="G2" s="82"/>
      <c r="H2" s="82"/>
      <c r="I2" s="82"/>
      <c r="J2" s="82"/>
    </row>
    <row r="3" spans="1:10" ht="15.5" x14ac:dyDescent="0.35">
      <c r="A3" s="39"/>
      <c r="B3" s="39"/>
      <c r="C3" s="85" t="s">
        <v>143</v>
      </c>
      <c r="D3" s="87"/>
      <c r="E3" s="81"/>
      <c r="F3" s="50"/>
      <c r="G3" s="82"/>
      <c r="H3" s="82"/>
      <c r="I3" s="82"/>
      <c r="J3" s="82"/>
    </row>
    <row r="4" spans="1:10" ht="15.5" x14ac:dyDescent="0.35">
      <c r="A4" s="39"/>
      <c r="B4" s="39"/>
      <c r="C4" s="85" t="s">
        <v>144</v>
      </c>
      <c r="D4" s="87"/>
      <c r="E4" s="50"/>
      <c r="F4" s="50"/>
      <c r="G4" s="82"/>
      <c r="H4" s="82"/>
      <c r="I4" s="82"/>
      <c r="J4" s="82"/>
    </row>
    <row r="5" spans="1:10" ht="15.5" x14ac:dyDescent="0.35">
      <c r="A5" s="13"/>
      <c r="B5" s="13"/>
      <c r="C5" s="87" t="s">
        <v>145</v>
      </c>
      <c r="D5" s="87"/>
      <c r="E5" s="23"/>
      <c r="F5" s="50"/>
      <c r="G5" s="82"/>
      <c r="H5" s="82"/>
      <c r="I5" s="82"/>
      <c r="J5" s="82"/>
    </row>
    <row r="6" spans="1:10" ht="15.5" x14ac:dyDescent="0.35">
      <c r="A6" s="40"/>
      <c r="B6" s="40"/>
      <c r="C6" s="88" t="s">
        <v>146</v>
      </c>
      <c r="D6" s="88"/>
      <c r="E6" s="78"/>
      <c r="F6" s="50"/>
      <c r="G6" s="82"/>
      <c r="H6" s="82"/>
      <c r="I6" s="82"/>
      <c r="J6" s="82"/>
    </row>
    <row r="7" spans="1:10" ht="15.5" x14ac:dyDescent="0.35">
      <c r="A7" s="166"/>
      <c r="B7" s="166"/>
      <c r="C7" s="166"/>
      <c r="D7" s="166"/>
      <c r="E7" s="166"/>
      <c r="F7" s="166"/>
    </row>
    <row r="8" spans="1:10" ht="16" thickBot="1" x14ac:dyDescent="0.4">
      <c r="A8" s="13"/>
      <c r="B8" s="13"/>
      <c r="C8" s="13"/>
      <c r="D8" s="13"/>
      <c r="E8" s="13"/>
      <c r="F8" s="13"/>
    </row>
    <row r="9" spans="1:10" s="14" customFormat="1" ht="19.5" customHeight="1" x14ac:dyDescent="0.35">
      <c r="A9" s="193"/>
      <c r="B9" s="193"/>
      <c r="C9" s="193"/>
      <c r="D9" s="24" t="s">
        <v>23</v>
      </c>
      <c r="E9" s="25" t="s">
        <v>0</v>
      </c>
      <c r="F9" s="26">
        <f>VLOOKUP(H9,DATA!B3:Q151,8,FALSE)</f>
        <v>0</v>
      </c>
      <c r="H9" s="164">
        <v>32</v>
      </c>
    </row>
    <row r="10" spans="1:10" s="14" customFormat="1" ht="19.5" customHeight="1" thickBot="1" x14ac:dyDescent="0.4">
      <c r="A10" s="194"/>
      <c r="B10" s="194"/>
      <c r="C10" s="194"/>
      <c r="D10" s="27" t="s">
        <v>24</v>
      </c>
      <c r="E10" s="21" t="s">
        <v>0</v>
      </c>
      <c r="F10" s="28">
        <f>VLOOKUP(H9,DATA!B3:Q151,12,FALSE)</f>
        <v>0</v>
      </c>
      <c r="H10" s="165"/>
    </row>
    <row r="11" spans="1:10" s="14" customFormat="1" ht="19.5" customHeight="1" x14ac:dyDescent="0.35">
      <c r="A11" s="194"/>
      <c r="B11" s="194"/>
      <c r="C11" s="194"/>
      <c r="D11" s="29" t="s">
        <v>47</v>
      </c>
      <c r="E11" s="22" t="s">
        <v>0</v>
      </c>
      <c r="F11" s="167">
        <f>VLOOKUP(H9,DATA!B3:Q151,9,FALSE)</f>
        <v>0</v>
      </c>
    </row>
    <row r="12" spans="1:10" s="14" customFormat="1" ht="19.5" customHeight="1" x14ac:dyDescent="0.35">
      <c r="A12" s="194"/>
      <c r="B12" s="194"/>
      <c r="C12" s="194"/>
      <c r="D12" s="30"/>
      <c r="E12" s="17"/>
      <c r="F12" s="168"/>
    </row>
    <row r="13" spans="1:10" s="14" customFormat="1" ht="19.5" customHeight="1" x14ac:dyDescent="0.35">
      <c r="A13" s="194"/>
      <c r="B13" s="194"/>
      <c r="C13" s="194"/>
      <c r="D13" s="181" t="str">
        <f>"Kepala "&amp;DATA!D4&amp;""</f>
        <v xml:space="preserve">Kepala </v>
      </c>
      <c r="E13" s="182"/>
      <c r="F13" s="183"/>
    </row>
    <row r="14" spans="1:10" s="14" customFormat="1" ht="68" customHeight="1" x14ac:dyDescent="0.35">
      <c r="A14" s="194"/>
      <c r="B14" s="194"/>
      <c r="C14" s="194"/>
      <c r="D14" s="195"/>
      <c r="E14" s="196"/>
      <c r="F14" s="197"/>
    </row>
    <row r="15" spans="1:10" s="14" customFormat="1" ht="19.5" customHeight="1" x14ac:dyDescent="0.35">
      <c r="A15" s="194"/>
      <c r="B15" s="194"/>
      <c r="C15" s="194"/>
      <c r="D15" s="184" t="str">
        <f>DATA!D7</f>
        <v>drh. Rihimeha A. Praing, MP</v>
      </c>
      <c r="E15" s="185"/>
      <c r="F15" s="186"/>
    </row>
    <row r="16" spans="1:10" s="14" customFormat="1" ht="19.5" customHeight="1" x14ac:dyDescent="0.35">
      <c r="A16" s="194"/>
      <c r="B16" s="194"/>
      <c r="C16" s="194"/>
      <c r="D16" s="187" t="str">
        <f>"NIP. "&amp;DATA!D8&amp;""</f>
        <v>NIP. 19680523 199803 1 005</v>
      </c>
      <c r="E16" s="188"/>
      <c r="F16" s="189"/>
    </row>
    <row r="17" spans="1:6" s="14" customFormat="1" ht="15.5" x14ac:dyDescent="0.35">
      <c r="A17" s="46" t="s">
        <v>25</v>
      </c>
      <c r="B17" s="47" t="s">
        <v>0</v>
      </c>
      <c r="C17" s="47">
        <f>VLOOKUP(H9,DATA!B3:Q151,9,FALSE)</f>
        <v>0</v>
      </c>
      <c r="D17" s="43" t="s">
        <v>23</v>
      </c>
      <c r="E17" s="44" t="s">
        <v>0</v>
      </c>
      <c r="F17" s="45">
        <f>VLOOKUP(H9,DATA!B3:Q151,9,FALSE)</f>
        <v>0</v>
      </c>
    </row>
    <row r="18" spans="1:6" s="14" customFormat="1" ht="19.5" customHeight="1" x14ac:dyDescent="0.35">
      <c r="A18" s="30" t="s">
        <v>26</v>
      </c>
      <c r="B18" s="17" t="s">
        <v>0</v>
      </c>
      <c r="C18" s="17">
        <f>VLOOKUP(H9,DATA!B3:Q151,12,FALSE)</f>
        <v>0</v>
      </c>
      <c r="D18" s="36" t="s">
        <v>27</v>
      </c>
      <c r="E18" s="23" t="s">
        <v>0</v>
      </c>
      <c r="F18" s="37">
        <f>VLOOKUP(H9,DATA!B3:Q151,12,FALSE)</f>
        <v>0</v>
      </c>
    </row>
    <row r="19" spans="1:6" s="14" customFormat="1" ht="94" customHeight="1" x14ac:dyDescent="0.35">
      <c r="A19" s="30"/>
      <c r="B19" s="17"/>
      <c r="C19" s="17"/>
      <c r="D19" s="36"/>
      <c r="E19" s="23"/>
      <c r="F19" s="37"/>
    </row>
    <row r="20" spans="1:6" s="14" customFormat="1" ht="19.5" customHeight="1" x14ac:dyDescent="0.35">
      <c r="A20" s="33" t="s">
        <v>48</v>
      </c>
      <c r="B20" s="34" t="s">
        <v>0</v>
      </c>
      <c r="C20" s="34">
        <f>VLOOKUP(H9,DATA!B3:Q151,8,FALSE)</f>
        <v>0</v>
      </c>
      <c r="D20" s="169" t="s">
        <v>31</v>
      </c>
      <c r="E20" s="170"/>
      <c r="F20" s="171"/>
    </row>
    <row r="21" spans="1:6" s="14" customFormat="1" ht="19.5" customHeight="1" x14ac:dyDescent="0.35">
      <c r="A21" s="30" t="s">
        <v>26</v>
      </c>
      <c r="B21" s="17" t="s">
        <v>0</v>
      </c>
      <c r="C21" s="17">
        <f>VLOOKUP(H9,DATA!B3:Q151,13,FALSE)</f>
        <v>0</v>
      </c>
      <c r="D21" s="172"/>
      <c r="E21" s="173"/>
      <c r="F21" s="174"/>
    </row>
    <row r="22" spans="1:6" s="14" customFormat="1" ht="19.5" customHeight="1" x14ac:dyDescent="0.35">
      <c r="A22" s="30" t="s">
        <v>141</v>
      </c>
      <c r="B22" s="17"/>
      <c r="C22" s="17"/>
      <c r="D22" s="172"/>
      <c r="E22" s="173"/>
      <c r="F22" s="174"/>
    </row>
    <row r="23" spans="1:6" s="14" customFormat="1" ht="54" customHeight="1" x14ac:dyDescent="0.35">
      <c r="A23" s="38"/>
      <c r="B23" s="16"/>
      <c r="C23" s="16"/>
      <c r="D23" s="172"/>
      <c r="E23" s="173"/>
      <c r="F23" s="174"/>
    </row>
    <row r="24" spans="1:6" s="14" customFormat="1" ht="19.5" customHeight="1" x14ac:dyDescent="0.35">
      <c r="A24" s="178" t="str">
        <f>DATA!D7</f>
        <v>drh. Rihimeha A. Praing, MP</v>
      </c>
      <c r="B24" s="179"/>
      <c r="C24" s="179"/>
      <c r="D24" s="172"/>
      <c r="E24" s="173"/>
      <c r="F24" s="174"/>
    </row>
    <row r="25" spans="1:6" s="14" customFormat="1" ht="19.5" customHeight="1" x14ac:dyDescent="0.35">
      <c r="A25" s="190" t="str">
        <f>"NIP. "&amp;DATA!D8&amp;""</f>
        <v>NIP. 19680523 199803 1 005</v>
      </c>
      <c r="B25" s="191"/>
      <c r="C25" s="191"/>
      <c r="D25" s="175"/>
      <c r="E25" s="176"/>
      <c r="F25" s="177"/>
    </row>
    <row r="26" spans="1:6" s="14" customFormat="1" ht="19.5" customHeight="1" x14ac:dyDescent="0.35">
      <c r="A26" s="31" t="s">
        <v>28</v>
      </c>
      <c r="B26" s="31"/>
      <c r="C26" s="32"/>
      <c r="D26" s="35"/>
      <c r="E26" s="31"/>
      <c r="F26" s="32"/>
    </row>
    <row r="27" spans="1:6" s="14" customFormat="1" ht="19.5" customHeight="1" x14ac:dyDescent="0.35">
      <c r="A27" s="15"/>
      <c r="B27" s="15"/>
      <c r="C27" s="15"/>
      <c r="D27" s="15"/>
      <c r="E27" s="15"/>
      <c r="F27" s="15"/>
    </row>
    <row r="28" spans="1:6" s="14" customFormat="1" ht="19.5" customHeight="1" x14ac:dyDescent="0.35">
      <c r="A28" s="15" t="s">
        <v>29</v>
      </c>
      <c r="B28" s="15"/>
      <c r="C28" s="15"/>
      <c r="D28" s="15"/>
      <c r="E28" s="15"/>
      <c r="F28" s="15"/>
    </row>
    <row r="29" spans="1:6" s="14" customFormat="1" ht="76" customHeight="1" x14ac:dyDescent="0.35">
      <c r="A29" s="192" t="s">
        <v>30</v>
      </c>
      <c r="B29" s="192"/>
      <c r="C29" s="192"/>
      <c r="D29" s="192"/>
      <c r="E29" s="192"/>
      <c r="F29" s="192"/>
    </row>
    <row r="30" spans="1:6" s="14" customFormat="1" ht="19.5" customHeight="1" x14ac:dyDescent="0.35">
      <c r="F30" s="10"/>
    </row>
    <row r="31" spans="1:6" s="14" customFormat="1" ht="19.5" customHeight="1" x14ac:dyDescent="0.35">
      <c r="A31" s="16"/>
      <c r="B31" s="16"/>
      <c r="C31" s="16"/>
      <c r="D31" s="16"/>
      <c r="E31" s="16"/>
      <c r="F31" s="16"/>
    </row>
    <row r="32" spans="1:6" s="14" customFormat="1" ht="35" customHeight="1" x14ac:dyDescent="0.35">
      <c r="A32" s="16"/>
      <c r="B32" s="16"/>
      <c r="C32" s="16" t="s">
        <v>151</v>
      </c>
      <c r="D32" s="16"/>
      <c r="E32" s="16"/>
      <c r="F32" s="16"/>
    </row>
    <row r="33" spans="1:6" s="14" customFormat="1" ht="19.5" customHeight="1" x14ac:dyDescent="0.35">
      <c r="A33" s="17"/>
      <c r="B33" s="17"/>
      <c r="C33" s="17"/>
      <c r="D33" s="17"/>
      <c r="E33" s="17"/>
      <c r="F33" s="11"/>
    </row>
    <row r="34" spans="1:6" s="14" customFormat="1" ht="12.5" customHeight="1" x14ac:dyDescent="0.35">
      <c r="A34" s="17"/>
      <c r="B34" s="17"/>
      <c r="C34" s="17"/>
      <c r="D34" s="17"/>
      <c r="E34" s="17"/>
      <c r="F34" s="17"/>
    </row>
    <row r="35" spans="1:6" ht="15.5" x14ac:dyDescent="0.35">
      <c r="A35" s="1"/>
      <c r="B35" s="1"/>
      <c r="C35" s="1"/>
      <c r="D35" s="1"/>
      <c r="E35" s="1"/>
      <c r="F35" s="1"/>
    </row>
    <row r="36" spans="1:6" ht="15.5" x14ac:dyDescent="0.35">
      <c r="A36" s="1"/>
      <c r="B36" s="1"/>
      <c r="C36" s="1"/>
      <c r="D36" s="1"/>
      <c r="E36" s="1"/>
      <c r="F36" s="1"/>
    </row>
    <row r="37" spans="1:6" ht="15.5" x14ac:dyDescent="0.35">
      <c r="A37" s="1"/>
      <c r="B37" s="1"/>
      <c r="C37" s="1"/>
      <c r="D37" s="1"/>
      <c r="E37" s="1"/>
      <c r="F37" s="1"/>
    </row>
    <row r="38" spans="1:6" ht="15.5" x14ac:dyDescent="0.35">
      <c r="A38" s="1"/>
      <c r="B38" s="1"/>
      <c r="C38" s="1"/>
      <c r="D38" s="1"/>
      <c r="E38" s="1"/>
      <c r="F38" s="1"/>
    </row>
    <row r="39" spans="1:6" ht="15.5" x14ac:dyDescent="0.35">
      <c r="A39" s="1"/>
      <c r="B39" s="1"/>
      <c r="C39" s="1"/>
      <c r="D39" s="1"/>
      <c r="E39" s="1"/>
      <c r="F39" s="1"/>
    </row>
    <row r="40" spans="1:6" ht="15.5" x14ac:dyDescent="0.35">
      <c r="A40" s="1"/>
      <c r="B40" s="1"/>
      <c r="C40" s="1"/>
      <c r="D40" s="1"/>
      <c r="E40" s="1"/>
      <c r="F40" s="1"/>
    </row>
    <row r="41" spans="1:6" ht="15.5" x14ac:dyDescent="0.35">
      <c r="A41" s="1"/>
      <c r="B41" s="1"/>
      <c r="C41" s="1"/>
      <c r="D41" s="1"/>
      <c r="E41" s="1"/>
      <c r="F41" s="1"/>
    </row>
    <row r="42" spans="1:6" ht="15.5" x14ac:dyDescent="0.35">
      <c r="A42" s="1"/>
      <c r="B42" s="1"/>
      <c r="C42" s="1"/>
      <c r="D42" s="1"/>
      <c r="E42" s="1"/>
      <c r="F42" s="1"/>
    </row>
    <row r="43" spans="1:6" x14ac:dyDescent="0.35">
      <c r="A43" s="180"/>
      <c r="B43" s="180"/>
      <c r="C43" s="180"/>
      <c r="D43" s="180"/>
      <c r="E43" s="180"/>
      <c r="F43" s="180"/>
    </row>
    <row r="44" spans="1:6" x14ac:dyDescent="0.35">
      <c r="A44" s="2"/>
      <c r="B44" s="2"/>
      <c r="C44" s="2"/>
      <c r="D44" s="2"/>
      <c r="E44" s="2"/>
      <c r="F44" s="2"/>
    </row>
    <row r="45" spans="1:6" x14ac:dyDescent="0.35">
      <c r="A45" s="2"/>
      <c r="B45" s="2"/>
      <c r="C45" s="2"/>
      <c r="D45" s="2"/>
      <c r="E45" s="2"/>
      <c r="F45" s="2"/>
    </row>
    <row r="46" spans="1:6" x14ac:dyDescent="0.35">
      <c r="A46" s="2"/>
      <c r="B46" s="2"/>
      <c r="C46" s="2"/>
      <c r="D46" s="2"/>
      <c r="E46" s="2"/>
      <c r="F46" s="2"/>
    </row>
  </sheetData>
  <mergeCells count="13">
    <mergeCell ref="A43:F43"/>
    <mergeCell ref="D13:F13"/>
    <mergeCell ref="D15:F15"/>
    <mergeCell ref="D16:F16"/>
    <mergeCell ref="A25:C25"/>
    <mergeCell ref="A29:F29"/>
    <mergeCell ref="A9:C16"/>
    <mergeCell ref="D14:F14"/>
    <mergeCell ref="H9:H10"/>
    <mergeCell ref="A7:F7"/>
    <mergeCell ref="F11:F12"/>
    <mergeCell ref="D20:F25"/>
    <mergeCell ref="A24:C24"/>
  </mergeCells>
  <pageMargins left="0.25" right="0.25" top="0.75" bottom="0.75" header="0.3" footer="0.3"/>
  <pageSetup paperSize="9" scale="87" fitToHeight="0" orientation="portrait" horizontalDpi="360" verticalDpi="36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pinner 1">
              <controlPr defaultSize="0" autoPict="0">
                <anchor moveWithCells="1" sizeWithCells="1">
                  <from>
                    <xdr:col>8</xdr:col>
                    <xdr:colOff>12700</xdr:colOff>
                    <xdr:row>7</xdr:row>
                    <xdr:rowOff>196850</xdr:rowOff>
                  </from>
                  <to>
                    <xdr:col>9</xdr:col>
                    <xdr:colOff>19050</xdr:colOff>
                    <xdr:row>10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E335-BFBD-4DDB-8945-497D1CBF5CD3}">
  <dimension ref="A1:H98"/>
  <sheetViews>
    <sheetView zoomScale="70" zoomScaleNormal="70" workbookViewId="0">
      <selection activeCell="Q22" sqref="Q22"/>
    </sheetView>
  </sheetViews>
  <sheetFormatPr defaultRowHeight="14.5" x14ac:dyDescent="0.35"/>
  <cols>
    <col min="1" max="1" width="9.1796875" customWidth="1"/>
    <col min="2" max="2" width="16.26953125" customWidth="1"/>
    <col min="3" max="3" width="2" customWidth="1"/>
    <col min="5" max="5" width="7.6328125" customWidth="1"/>
    <col min="6" max="6" width="65.1796875" customWidth="1"/>
    <col min="8" max="8" width="11.453125" bestFit="1" customWidth="1"/>
  </cols>
  <sheetData>
    <row r="1" spans="1:8" ht="18" x14ac:dyDescent="0.35">
      <c r="A1" s="1"/>
      <c r="B1" s="199" t="s">
        <v>127</v>
      </c>
      <c r="C1" s="199"/>
      <c r="D1" s="199"/>
      <c r="E1" s="199"/>
      <c r="F1" s="199"/>
    </row>
    <row r="2" spans="1:8" ht="18" x14ac:dyDescent="0.35">
      <c r="A2" s="1"/>
      <c r="B2" s="200" t="s">
        <v>128</v>
      </c>
      <c r="C2" s="200"/>
      <c r="D2" s="200"/>
      <c r="E2" s="200"/>
      <c r="F2" s="200"/>
    </row>
    <row r="3" spans="1:8" ht="15.5" x14ac:dyDescent="0.35">
      <c r="A3" s="1"/>
      <c r="B3" s="205" t="s">
        <v>135</v>
      </c>
      <c r="C3" s="206"/>
      <c r="D3" s="206"/>
      <c r="E3" s="206"/>
      <c r="F3" s="206"/>
    </row>
    <row r="4" spans="1:8" ht="20.5" x14ac:dyDescent="0.35">
      <c r="A4" s="1"/>
      <c r="B4" s="207" t="s">
        <v>134</v>
      </c>
      <c r="C4" s="207"/>
      <c r="D4" s="207"/>
      <c r="E4" s="207"/>
      <c r="F4" s="207"/>
    </row>
    <row r="5" spans="1:8" ht="16" thickBot="1" x14ac:dyDescent="0.4">
      <c r="A5" s="1"/>
      <c r="B5" s="208"/>
      <c r="C5" s="208"/>
      <c r="D5" s="208"/>
      <c r="E5" s="208"/>
      <c r="F5" s="208"/>
    </row>
    <row r="6" spans="1:8" ht="32.5" customHeight="1" x14ac:dyDescent="0.35">
      <c r="A6" s="1"/>
      <c r="B6" s="1"/>
      <c r="C6" s="1"/>
      <c r="D6" s="1"/>
      <c r="E6" s="1"/>
      <c r="F6" s="1"/>
      <c r="H6" s="202">
        <v>1</v>
      </c>
    </row>
    <row r="7" spans="1:8" ht="18" thickBot="1" x14ac:dyDescent="0.4">
      <c r="A7" s="209" t="s">
        <v>3</v>
      </c>
      <c r="B7" s="209"/>
      <c r="C7" s="209"/>
      <c r="D7" s="209"/>
      <c r="E7" s="209"/>
      <c r="F7" s="209"/>
      <c r="H7" s="203"/>
    </row>
    <row r="8" spans="1:8" ht="15.5" x14ac:dyDescent="0.35">
      <c r="A8" s="201" t="str">
        <f>"Nomor : "&amp;VLOOKUP(H6,DATA!B10:O158,2,FALSE)</f>
        <v>Nomor : 800/….../452.321.44/2024</v>
      </c>
      <c r="B8" s="201"/>
      <c r="C8" s="201"/>
      <c r="D8" s="201"/>
      <c r="E8" s="201"/>
      <c r="F8" s="201"/>
    </row>
    <row r="9" spans="1:8" ht="15.5" x14ac:dyDescent="0.35">
      <c r="A9" s="52"/>
      <c r="B9" s="52"/>
      <c r="C9" s="52"/>
      <c r="D9" s="52"/>
      <c r="E9" s="52"/>
      <c r="F9" s="52"/>
    </row>
    <row r="10" spans="1:8" ht="15.5" x14ac:dyDescent="0.35">
      <c r="A10" s="52"/>
      <c r="B10" s="52"/>
      <c r="C10" s="52"/>
      <c r="D10" s="52"/>
      <c r="E10" s="52"/>
      <c r="F10" s="52"/>
    </row>
    <row r="11" spans="1:8" ht="15.5" x14ac:dyDescent="0.35">
      <c r="A11" s="51"/>
      <c r="B11" s="198" t="s">
        <v>132</v>
      </c>
      <c r="C11" s="198"/>
      <c r="D11" s="198"/>
      <c r="E11" s="198"/>
      <c r="F11" s="198"/>
    </row>
    <row r="12" spans="1:8" ht="15.5" x14ac:dyDescent="0.35">
      <c r="A12" s="204" t="s">
        <v>41</v>
      </c>
      <c r="B12" s="204"/>
      <c r="C12" s="204"/>
      <c r="D12" s="204"/>
      <c r="E12" s="204"/>
      <c r="F12" s="204"/>
    </row>
    <row r="13" spans="1:8" ht="15.5" x14ac:dyDescent="0.35">
      <c r="A13" s="53"/>
      <c r="B13" s="53" t="s">
        <v>37</v>
      </c>
      <c r="C13" s="50" t="s">
        <v>0</v>
      </c>
      <c r="D13" s="198" t="str">
        <f>VLOOKUP(H6,DATA!B10:O158,4,FALSE)</f>
        <v>drh. Rihimeha A. Praing, MP</v>
      </c>
      <c r="E13" s="198"/>
      <c r="F13" s="198"/>
    </row>
    <row r="14" spans="1:8" ht="15.5" x14ac:dyDescent="0.35">
      <c r="A14" s="53"/>
      <c r="B14" s="53" t="s">
        <v>1</v>
      </c>
      <c r="C14" s="50" t="s">
        <v>0</v>
      </c>
      <c r="D14" s="198" t="str">
        <f>VLOOKUP(H6,DATA!B10:O158,5,FALSE)</f>
        <v>19680523 199803 1 005</v>
      </c>
      <c r="E14" s="198"/>
      <c r="F14" s="198"/>
    </row>
    <row r="15" spans="1:8" ht="15.5" x14ac:dyDescent="0.35">
      <c r="A15" s="53"/>
      <c r="B15" s="53" t="s">
        <v>38</v>
      </c>
      <c r="C15" s="50" t="s">
        <v>0</v>
      </c>
      <c r="D15" s="198" t="str">
        <f>VLOOKUP(H6,DATA!B10:O158,6,FALSE)</f>
        <v>IV/C</v>
      </c>
      <c r="E15" s="198"/>
      <c r="F15" s="198"/>
    </row>
    <row r="16" spans="1:8" ht="15.5" x14ac:dyDescent="0.35">
      <c r="A16" s="53"/>
      <c r="B16" s="53" t="s">
        <v>39</v>
      </c>
      <c r="C16" s="50" t="s">
        <v>0</v>
      </c>
      <c r="D16" s="198" t="str">
        <f>VLOOKUP(H6,DATA!B10:O158,7,FALSE)</f>
        <v>Kepala Dinas Komunikasi Dan Informatika</v>
      </c>
      <c r="E16" s="198"/>
      <c r="F16" s="198"/>
    </row>
    <row r="17" spans="1:6" ht="15.5" customHeight="1" x14ac:dyDescent="0.35">
      <c r="A17" s="192" t="str">
        <f>"Untuk "&amp;VLOOKUP(H6,DATA!B3:Q151,14,FALSE)&amp;" tanggal "&amp;VLOOKUP(H6,DATA!B3:Q151,12,FALSE)&amp;" di "&amp;VLOOKUP(H6,DATA!B3:Q151,9,FALSE)&amp;""</f>
        <v>Untuk monitoring tanggal 16 Januari 2024 di KUPANG</v>
      </c>
      <c r="B17" s="192"/>
      <c r="C17" s="192"/>
      <c r="D17" s="192"/>
      <c r="E17" s="192"/>
      <c r="F17" s="192"/>
    </row>
    <row r="18" spans="1:6" ht="15.5" customHeight="1" x14ac:dyDescent="0.35">
      <c r="A18" s="192"/>
      <c r="B18" s="192"/>
      <c r="C18" s="192"/>
      <c r="D18" s="192"/>
      <c r="E18" s="192"/>
      <c r="F18" s="192"/>
    </row>
    <row r="19" spans="1:6" ht="15.5" x14ac:dyDescent="0.35">
      <c r="A19" s="51"/>
      <c r="B19" s="51"/>
      <c r="C19" s="51"/>
      <c r="D19" s="51"/>
      <c r="E19" s="51"/>
      <c r="F19" s="51"/>
    </row>
    <row r="20" spans="1:6" ht="15.5" customHeight="1" x14ac:dyDescent="0.35">
      <c r="A20" s="192" t="s">
        <v>40</v>
      </c>
      <c r="B20" s="192"/>
      <c r="C20" s="192"/>
      <c r="D20" s="192"/>
      <c r="E20" s="192"/>
      <c r="F20" s="192"/>
    </row>
    <row r="21" spans="1:6" ht="15.5" customHeight="1" x14ac:dyDescent="0.35">
      <c r="A21" s="192"/>
      <c r="B21" s="192"/>
      <c r="C21" s="192"/>
      <c r="D21" s="192"/>
      <c r="E21" s="192"/>
      <c r="F21" s="192"/>
    </row>
    <row r="22" spans="1:6" ht="15.5" x14ac:dyDescent="0.35">
      <c r="A22" s="51"/>
      <c r="B22" s="51"/>
      <c r="C22" s="51"/>
      <c r="D22" s="51"/>
      <c r="E22" s="51"/>
      <c r="F22" s="51"/>
    </row>
    <row r="23" spans="1:6" ht="15.5" x14ac:dyDescent="0.35">
      <c r="A23" s="51"/>
      <c r="B23" s="51"/>
      <c r="C23" s="51"/>
      <c r="D23" s="51"/>
      <c r="E23" s="51"/>
      <c r="F23" s="51"/>
    </row>
    <row r="24" spans="1:6" ht="15.5" x14ac:dyDescent="0.35">
      <c r="A24" s="51"/>
      <c r="B24" s="51"/>
      <c r="C24" s="51"/>
      <c r="D24" s="51"/>
      <c r="E24" s="51"/>
      <c r="F24" s="52" t="str">
        <f>"Kepala Dinas Komunikasi dan Informatika "&amp;VLOOKUP(H6,DATA!B10:O158,3,FALSE)&amp;""</f>
        <v>Kepala Dinas Komunikasi dan Informatika 16 Januari 2024</v>
      </c>
    </row>
    <row r="25" spans="1:6" ht="15.5" x14ac:dyDescent="0.35">
      <c r="A25" s="51"/>
      <c r="B25" s="51"/>
      <c r="C25" s="51"/>
      <c r="D25" s="51"/>
      <c r="E25" s="51"/>
      <c r="F25" s="52" t="s">
        <v>133</v>
      </c>
    </row>
    <row r="26" spans="1:6" ht="15.5" x14ac:dyDescent="0.35">
      <c r="A26" s="51"/>
      <c r="B26" s="51"/>
      <c r="C26" s="51"/>
      <c r="D26" s="51"/>
      <c r="E26" s="51"/>
      <c r="F26" s="12"/>
    </row>
    <row r="27" spans="1:6" ht="15.5" x14ac:dyDescent="0.35">
      <c r="A27" s="51"/>
      <c r="B27" s="51"/>
      <c r="C27" s="51"/>
      <c r="D27" s="51"/>
      <c r="E27" s="51"/>
      <c r="F27" s="12"/>
    </row>
    <row r="28" spans="1:6" ht="15.5" x14ac:dyDescent="0.35">
      <c r="A28" s="51"/>
      <c r="B28" s="51"/>
      <c r="C28" s="51"/>
      <c r="D28" s="51"/>
      <c r="E28" s="51"/>
      <c r="F28" s="12"/>
    </row>
    <row r="29" spans="1:6" ht="15.5" x14ac:dyDescent="0.35">
      <c r="A29" s="51"/>
      <c r="B29" s="51"/>
      <c r="C29" s="51"/>
      <c r="D29" s="51"/>
      <c r="E29" s="51"/>
      <c r="F29" s="77" t="str">
        <f>DATA!D7</f>
        <v>drh. Rihimeha A. Praing, MP</v>
      </c>
    </row>
    <row r="30" spans="1:6" ht="15.5" x14ac:dyDescent="0.35">
      <c r="A30" s="51"/>
      <c r="B30" s="51"/>
      <c r="C30" s="51"/>
      <c r="D30" s="51"/>
      <c r="E30" s="51"/>
      <c r="F30" s="52" t="str">
        <f>"NIP. "&amp;DATA!D8&amp;""</f>
        <v>NIP. 19680523 199803 1 005</v>
      </c>
    </row>
    <row r="31" spans="1:6" ht="15.5" x14ac:dyDescent="0.35">
      <c r="A31" s="51"/>
      <c r="B31" s="51"/>
      <c r="C31" s="51"/>
      <c r="D31" s="51"/>
      <c r="E31" s="51"/>
      <c r="F31" s="52" t="s">
        <v>136</v>
      </c>
    </row>
    <row r="32" spans="1:6" ht="15.5" x14ac:dyDescent="0.35">
      <c r="A32" s="51"/>
      <c r="B32" s="51"/>
      <c r="C32" s="51"/>
      <c r="D32" s="51"/>
      <c r="E32" s="51"/>
      <c r="F32" s="51"/>
    </row>
    <row r="33" spans="1:6" ht="15.5" x14ac:dyDescent="0.35">
      <c r="A33" s="51"/>
      <c r="B33" s="51"/>
      <c r="C33" s="51"/>
      <c r="D33" s="51"/>
      <c r="E33" s="51"/>
      <c r="F33" s="51"/>
    </row>
    <row r="34" spans="1:6" ht="15.5" x14ac:dyDescent="0.35">
      <c r="A34" s="51"/>
      <c r="B34" s="51"/>
      <c r="C34" s="51"/>
      <c r="D34" s="51"/>
      <c r="E34" s="51"/>
      <c r="F34" s="51"/>
    </row>
    <row r="35" spans="1:6" ht="15.5" x14ac:dyDescent="0.35">
      <c r="A35" s="51"/>
      <c r="B35" s="51"/>
      <c r="C35" s="51"/>
      <c r="D35" s="51"/>
      <c r="E35" s="51"/>
      <c r="F35" s="51"/>
    </row>
    <row r="36" spans="1:6" ht="15.5" x14ac:dyDescent="0.35">
      <c r="A36" s="51"/>
      <c r="B36" s="51"/>
      <c r="C36" s="51"/>
      <c r="D36" s="51"/>
      <c r="E36" s="51"/>
      <c r="F36" s="51"/>
    </row>
    <row r="37" spans="1:6" ht="15.5" x14ac:dyDescent="0.35">
      <c r="A37" s="51"/>
      <c r="B37" s="51"/>
      <c r="C37" s="51"/>
      <c r="D37" s="51"/>
      <c r="E37" s="51"/>
      <c r="F37" s="51"/>
    </row>
    <row r="38" spans="1:6" ht="15.5" x14ac:dyDescent="0.35">
      <c r="A38" s="51"/>
      <c r="B38" s="51"/>
      <c r="C38" s="51"/>
      <c r="D38" s="51"/>
      <c r="E38" s="51"/>
      <c r="F38" s="51"/>
    </row>
    <row r="39" spans="1:6" ht="15.5" x14ac:dyDescent="0.35">
      <c r="A39" s="51"/>
      <c r="B39" s="51"/>
      <c r="C39" s="51"/>
      <c r="D39" s="51"/>
      <c r="E39" s="51"/>
      <c r="F39" s="51"/>
    </row>
    <row r="40" spans="1:6" ht="15.5" x14ac:dyDescent="0.35">
      <c r="A40" s="51"/>
      <c r="B40" s="51"/>
      <c r="C40" s="51"/>
      <c r="D40" s="51"/>
      <c r="E40" s="51"/>
      <c r="F40" s="51"/>
    </row>
    <row r="41" spans="1:6" ht="15.5" x14ac:dyDescent="0.35">
      <c r="A41" s="51"/>
      <c r="B41" s="51"/>
      <c r="C41" s="51"/>
      <c r="D41" s="51"/>
      <c r="E41" s="51"/>
      <c r="F41" s="51"/>
    </row>
    <row r="42" spans="1:6" ht="15.5" x14ac:dyDescent="0.35">
      <c r="A42" s="51"/>
      <c r="B42" s="51"/>
      <c r="C42" s="51"/>
      <c r="D42" s="51"/>
      <c r="E42" s="51"/>
      <c r="F42" s="51"/>
    </row>
    <row r="43" spans="1:6" ht="15.5" x14ac:dyDescent="0.35">
      <c r="A43" s="51"/>
      <c r="B43" s="51"/>
      <c r="C43" s="51"/>
      <c r="D43" s="51"/>
      <c r="E43" s="51"/>
      <c r="F43" s="51"/>
    </row>
    <row r="44" spans="1:6" ht="15.5" x14ac:dyDescent="0.35">
      <c r="A44" s="51"/>
      <c r="B44" s="51"/>
      <c r="C44" s="51"/>
      <c r="D44" s="51"/>
      <c r="E44" s="51"/>
      <c r="F44" s="51"/>
    </row>
    <row r="45" spans="1:6" ht="15.5" x14ac:dyDescent="0.35">
      <c r="A45" s="51"/>
      <c r="B45" s="51"/>
      <c r="C45" s="51"/>
      <c r="D45" s="51"/>
      <c r="E45" s="51"/>
      <c r="F45" s="51"/>
    </row>
    <row r="46" spans="1:6" ht="15.5" x14ac:dyDescent="0.35">
      <c r="A46" s="51"/>
      <c r="B46" s="51"/>
      <c r="C46" s="51"/>
      <c r="D46" s="51"/>
      <c r="E46" s="51"/>
      <c r="F46" s="51"/>
    </row>
    <row r="47" spans="1:6" ht="15.5" x14ac:dyDescent="0.35">
      <c r="A47" s="51"/>
      <c r="B47" s="51"/>
      <c r="C47" s="51"/>
      <c r="D47" s="51"/>
      <c r="E47" s="51"/>
      <c r="F47" s="51"/>
    </row>
    <row r="48" spans="1:6" ht="15.5" x14ac:dyDescent="0.35">
      <c r="A48" s="51"/>
      <c r="B48" s="51"/>
      <c r="C48" s="51"/>
      <c r="D48" s="51"/>
      <c r="E48" s="51"/>
      <c r="F48" s="51"/>
    </row>
    <row r="49" spans="1:6" ht="15.5" x14ac:dyDescent="0.35">
      <c r="A49" s="51"/>
      <c r="B49" s="51"/>
      <c r="C49" s="51"/>
      <c r="D49" s="51"/>
      <c r="E49" s="51"/>
      <c r="F49" s="51"/>
    </row>
    <row r="50" spans="1:6" ht="15.5" x14ac:dyDescent="0.35">
      <c r="A50" s="51"/>
      <c r="B50" s="51"/>
      <c r="C50" s="51"/>
      <c r="D50" s="51"/>
      <c r="E50" s="51"/>
      <c r="F50" s="51"/>
    </row>
    <row r="51" spans="1:6" ht="15.5" x14ac:dyDescent="0.35">
      <c r="A51" s="51"/>
      <c r="B51" s="51"/>
      <c r="C51" s="51"/>
      <c r="D51" s="51"/>
      <c r="E51" s="51"/>
      <c r="F51" s="51"/>
    </row>
    <row r="52" spans="1:6" ht="15.5" x14ac:dyDescent="0.35">
      <c r="A52" s="51"/>
      <c r="B52" s="51"/>
      <c r="C52" s="51"/>
      <c r="D52" s="51"/>
      <c r="E52" s="51"/>
      <c r="F52" s="51"/>
    </row>
    <row r="53" spans="1:6" ht="15.5" x14ac:dyDescent="0.35">
      <c r="A53" s="51"/>
      <c r="B53" s="51"/>
      <c r="C53" s="51"/>
      <c r="D53" s="51"/>
      <c r="E53" s="51"/>
      <c r="F53" s="51"/>
    </row>
    <row r="54" spans="1:6" ht="15.5" x14ac:dyDescent="0.35">
      <c r="A54" s="51"/>
      <c r="B54" s="51"/>
      <c r="C54" s="51"/>
      <c r="D54" s="51"/>
      <c r="E54" s="51"/>
      <c r="F54" s="51"/>
    </row>
    <row r="55" spans="1:6" ht="15.5" x14ac:dyDescent="0.35">
      <c r="A55" s="51"/>
      <c r="B55" s="51"/>
      <c r="C55" s="51"/>
      <c r="D55" s="51"/>
      <c r="E55" s="51"/>
      <c r="F55" s="51"/>
    </row>
    <row r="56" spans="1:6" ht="15.5" x14ac:dyDescent="0.35">
      <c r="A56" s="51"/>
      <c r="B56" s="51"/>
      <c r="C56" s="51"/>
      <c r="D56" s="51"/>
      <c r="E56" s="51"/>
      <c r="F56" s="51"/>
    </row>
    <row r="57" spans="1:6" ht="15.5" x14ac:dyDescent="0.35">
      <c r="A57" s="51"/>
      <c r="B57" s="51"/>
      <c r="C57" s="51"/>
      <c r="D57" s="51"/>
      <c r="E57" s="51"/>
      <c r="F57" s="51"/>
    </row>
    <row r="58" spans="1:6" ht="15.5" x14ac:dyDescent="0.35">
      <c r="A58" s="51"/>
      <c r="B58" s="51"/>
      <c r="C58" s="51"/>
      <c r="D58" s="51"/>
      <c r="E58" s="51"/>
      <c r="F58" s="51"/>
    </row>
    <row r="59" spans="1:6" ht="15.5" x14ac:dyDescent="0.35">
      <c r="A59" s="51"/>
      <c r="B59" s="51"/>
      <c r="C59" s="51"/>
      <c r="D59" s="51"/>
      <c r="E59" s="51"/>
      <c r="F59" s="51"/>
    </row>
    <row r="60" spans="1:6" ht="15.5" x14ac:dyDescent="0.35">
      <c r="A60" s="51"/>
      <c r="B60" s="51"/>
      <c r="C60" s="51"/>
      <c r="D60" s="51"/>
      <c r="E60" s="51"/>
      <c r="F60" s="51"/>
    </row>
    <row r="61" spans="1:6" ht="15.5" x14ac:dyDescent="0.35">
      <c r="A61" s="51"/>
      <c r="B61" s="51"/>
      <c r="C61" s="51"/>
      <c r="D61" s="51"/>
      <c r="E61" s="51"/>
      <c r="F61" s="51"/>
    </row>
    <row r="62" spans="1:6" ht="15.5" x14ac:dyDescent="0.35">
      <c r="A62" s="51"/>
      <c r="B62" s="51"/>
      <c r="C62" s="51"/>
      <c r="D62" s="51"/>
      <c r="E62" s="51"/>
      <c r="F62" s="51"/>
    </row>
    <row r="63" spans="1:6" ht="15.5" x14ac:dyDescent="0.35">
      <c r="A63" s="51"/>
      <c r="B63" s="51"/>
      <c r="C63" s="51"/>
      <c r="D63" s="51"/>
      <c r="E63" s="51"/>
      <c r="F63" s="51"/>
    </row>
    <row r="64" spans="1:6" ht="15.5" x14ac:dyDescent="0.35">
      <c r="A64" s="51"/>
      <c r="B64" s="51"/>
      <c r="C64" s="51"/>
      <c r="D64" s="51"/>
      <c r="E64" s="51"/>
      <c r="F64" s="51"/>
    </row>
    <row r="65" spans="1:6" ht="15.5" x14ac:dyDescent="0.35">
      <c r="A65" s="51"/>
      <c r="B65" s="51"/>
      <c r="C65" s="51"/>
      <c r="D65" s="51"/>
      <c r="E65" s="51"/>
      <c r="F65" s="51"/>
    </row>
    <row r="66" spans="1:6" ht="15.5" x14ac:dyDescent="0.35">
      <c r="A66" s="51"/>
      <c r="B66" s="51"/>
      <c r="C66" s="51"/>
      <c r="D66" s="51"/>
      <c r="E66" s="51"/>
      <c r="F66" s="51"/>
    </row>
    <row r="67" spans="1:6" ht="15.5" x14ac:dyDescent="0.35">
      <c r="A67" s="51"/>
      <c r="B67" s="51"/>
      <c r="C67" s="51"/>
      <c r="D67" s="51"/>
      <c r="E67" s="51"/>
      <c r="F67" s="51"/>
    </row>
    <row r="68" spans="1:6" ht="15.5" x14ac:dyDescent="0.35">
      <c r="A68" s="51"/>
      <c r="B68" s="51"/>
      <c r="C68" s="51"/>
      <c r="D68" s="51"/>
      <c r="E68" s="51"/>
      <c r="F68" s="51"/>
    </row>
    <row r="69" spans="1:6" ht="15.5" x14ac:dyDescent="0.35">
      <c r="A69" s="51"/>
      <c r="B69" s="51"/>
      <c r="C69" s="51"/>
      <c r="D69" s="51"/>
      <c r="E69" s="51"/>
      <c r="F69" s="51"/>
    </row>
    <row r="70" spans="1:6" ht="15.5" x14ac:dyDescent="0.35">
      <c r="A70" s="51"/>
      <c r="B70" s="51"/>
      <c r="C70" s="51"/>
      <c r="D70" s="51"/>
      <c r="E70" s="51"/>
      <c r="F70" s="51"/>
    </row>
    <row r="71" spans="1:6" ht="15.5" x14ac:dyDescent="0.35">
      <c r="A71" s="51"/>
      <c r="B71" s="51"/>
      <c r="C71" s="51"/>
      <c r="D71" s="51"/>
      <c r="E71" s="51"/>
      <c r="F71" s="51"/>
    </row>
    <row r="72" spans="1:6" ht="15.5" x14ac:dyDescent="0.35">
      <c r="A72" s="51"/>
      <c r="B72" s="51"/>
      <c r="C72" s="51"/>
      <c r="D72" s="51"/>
      <c r="E72" s="51"/>
      <c r="F72" s="51"/>
    </row>
    <row r="73" spans="1:6" ht="15.5" x14ac:dyDescent="0.35">
      <c r="A73" s="51"/>
      <c r="B73" s="51"/>
      <c r="C73" s="51"/>
      <c r="D73" s="51"/>
      <c r="E73" s="51"/>
      <c r="F73" s="51"/>
    </row>
    <row r="74" spans="1:6" ht="15.5" x14ac:dyDescent="0.35">
      <c r="A74" s="51"/>
      <c r="B74" s="51"/>
      <c r="C74" s="51"/>
      <c r="D74" s="51"/>
      <c r="E74" s="51"/>
      <c r="F74" s="51"/>
    </row>
    <row r="75" spans="1:6" ht="15.5" x14ac:dyDescent="0.35">
      <c r="A75" s="51"/>
      <c r="B75" s="51"/>
      <c r="C75" s="51"/>
      <c r="D75" s="51"/>
      <c r="E75" s="51"/>
      <c r="F75" s="51"/>
    </row>
    <row r="76" spans="1:6" ht="15.5" x14ac:dyDescent="0.35">
      <c r="A76" s="51"/>
      <c r="B76" s="51"/>
      <c r="C76" s="51"/>
      <c r="D76" s="51"/>
      <c r="E76" s="51"/>
      <c r="F76" s="51"/>
    </row>
    <row r="77" spans="1:6" ht="15.5" x14ac:dyDescent="0.35">
      <c r="A77" s="51"/>
      <c r="B77" s="51"/>
      <c r="C77" s="51"/>
      <c r="D77" s="51"/>
      <c r="E77" s="51"/>
      <c r="F77" s="51"/>
    </row>
    <row r="78" spans="1:6" ht="15.5" x14ac:dyDescent="0.35">
      <c r="A78" s="51"/>
      <c r="B78" s="51"/>
      <c r="C78" s="51"/>
      <c r="D78" s="51"/>
      <c r="E78" s="51"/>
      <c r="F78" s="51"/>
    </row>
    <row r="79" spans="1:6" ht="15.5" x14ac:dyDescent="0.35">
      <c r="A79" s="51"/>
      <c r="B79" s="51"/>
      <c r="C79" s="51"/>
      <c r="D79" s="51"/>
      <c r="E79" s="51"/>
      <c r="F79" s="51"/>
    </row>
    <row r="80" spans="1:6" ht="15.5" x14ac:dyDescent="0.35">
      <c r="A80" s="51"/>
      <c r="B80" s="51"/>
      <c r="C80" s="51"/>
      <c r="D80" s="51"/>
      <c r="E80" s="51"/>
      <c r="F80" s="51"/>
    </row>
    <row r="81" spans="1:6" ht="15.5" x14ac:dyDescent="0.35">
      <c r="A81" s="51"/>
      <c r="B81" s="51"/>
      <c r="C81" s="51"/>
      <c r="D81" s="51"/>
      <c r="E81" s="51"/>
      <c r="F81" s="51"/>
    </row>
    <row r="82" spans="1:6" ht="15.5" x14ac:dyDescent="0.35">
      <c r="A82" s="51"/>
      <c r="B82" s="51"/>
      <c r="C82" s="51"/>
      <c r="D82" s="51"/>
      <c r="E82" s="51"/>
      <c r="F82" s="51"/>
    </row>
    <row r="83" spans="1:6" ht="15.5" x14ac:dyDescent="0.35">
      <c r="A83" s="51"/>
      <c r="B83" s="51"/>
      <c r="C83" s="51"/>
      <c r="D83" s="51"/>
      <c r="E83" s="51"/>
      <c r="F83" s="51"/>
    </row>
    <row r="84" spans="1:6" ht="15.5" x14ac:dyDescent="0.35">
      <c r="A84" s="51"/>
      <c r="B84" s="51"/>
      <c r="C84" s="51"/>
      <c r="D84" s="51"/>
      <c r="E84" s="51"/>
      <c r="F84" s="51"/>
    </row>
    <row r="85" spans="1:6" ht="15.5" x14ac:dyDescent="0.35">
      <c r="A85" s="51"/>
      <c r="B85" s="51"/>
      <c r="C85" s="51"/>
      <c r="D85" s="51"/>
      <c r="E85" s="51"/>
      <c r="F85" s="51"/>
    </row>
    <row r="86" spans="1:6" ht="15.5" x14ac:dyDescent="0.35">
      <c r="A86" s="51"/>
      <c r="B86" s="51"/>
      <c r="C86" s="51"/>
      <c r="D86" s="51"/>
      <c r="E86" s="51"/>
      <c r="F86" s="51"/>
    </row>
    <row r="87" spans="1:6" ht="15.5" x14ac:dyDescent="0.35">
      <c r="A87" s="51"/>
      <c r="B87" s="51"/>
      <c r="C87" s="51"/>
      <c r="D87" s="51"/>
      <c r="E87" s="51"/>
      <c r="F87" s="51"/>
    </row>
    <row r="88" spans="1:6" ht="15.5" x14ac:dyDescent="0.35">
      <c r="A88" s="51"/>
      <c r="B88" s="51"/>
      <c r="C88" s="51"/>
      <c r="D88" s="51"/>
      <c r="E88" s="51"/>
      <c r="F88" s="51"/>
    </row>
    <row r="89" spans="1:6" ht="15.5" x14ac:dyDescent="0.35">
      <c r="A89" s="51"/>
      <c r="B89" s="51"/>
      <c r="C89" s="51"/>
      <c r="D89" s="51"/>
      <c r="E89" s="51"/>
      <c r="F89" s="51"/>
    </row>
    <row r="90" spans="1:6" ht="15.5" x14ac:dyDescent="0.35">
      <c r="A90" s="51"/>
      <c r="B90" s="51"/>
      <c r="C90" s="51"/>
      <c r="D90" s="51"/>
      <c r="E90" s="51"/>
      <c r="F90" s="51"/>
    </row>
    <row r="91" spans="1:6" ht="15.5" x14ac:dyDescent="0.35">
      <c r="A91" s="51"/>
      <c r="B91" s="51"/>
      <c r="C91" s="51"/>
      <c r="D91" s="51"/>
      <c r="E91" s="51"/>
      <c r="F91" s="51"/>
    </row>
    <row r="92" spans="1:6" ht="15.5" x14ac:dyDescent="0.35">
      <c r="A92" s="51"/>
      <c r="B92" s="51"/>
      <c r="C92" s="51"/>
      <c r="D92" s="51"/>
      <c r="E92" s="51"/>
      <c r="F92" s="51"/>
    </row>
    <row r="93" spans="1:6" ht="15.5" x14ac:dyDescent="0.35">
      <c r="A93" s="51"/>
      <c r="B93" s="51"/>
      <c r="C93" s="51"/>
      <c r="D93" s="51"/>
      <c r="E93" s="51"/>
      <c r="F93" s="51"/>
    </row>
    <row r="94" spans="1:6" ht="15.5" x14ac:dyDescent="0.35">
      <c r="A94" s="51"/>
      <c r="B94" s="51"/>
      <c r="C94" s="51"/>
      <c r="D94" s="51"/>
      <c r="E94" s="51"/>
      <c r="F94" s="51"/>
    </row>
    <row r="95" spans="1:6" ht="15.5" x14ac:dyDescent="0.35">
      <c r="A95" s="51"/>
      <c r="B95" s="51"/>
      <c r="C95" s="51"/>
      <c r="D95" s="51"/>
      <c r="E95" s="51"/>
      <c r="F95" s="51"/>
    </row>
    <row r="96" spans="1:6" ht="15.5" x14ac:dyDescent="0.35">
      <c r="A96" s="51"/>
      <c r="B96" s="51"/>
      <c r="C96" s="51"/>
      <c r="D96" s="51"/>
      <c r="E96" s="51"/>
      <c r="F96" s="51"/>
    </row>
    <row r="97" spans="1:6" ht="15.5" x14ac:dyDescent="0.35">
      <c r="A97" s="51"/>
      <c r="B97" s="51"/>
      <c r="C97" s="51"/>
      <c r="D97" s="51"/>
      <c r="E97" s="51"/>
      <c r="F97" s="51"/>
    </row>
    <row r="98" spans="1:6" ht="15.5" x14ac:dyDescent="0.35">
      <c r="A98" s="51"/>
      <c r="B98" s="51"/>
      <c r="C98" s="51"/>
      <c r="D98" s="51"/>
      <c r="E98" s="51"/>
      <c r="F98" s="51"/>
    </row>
  </sheetData>
  <mergeCells count="16">
    <mergeCell ref="B1:F1"/>
    <mergeCell ref="B2:F2"/>
    <mergeCell ref="A8:F8"/>
    <mergeCell ref="H6:H7"/>
    <mergeCell ref="A12:F12"/>
    <mergeCell ref="B11:F11"/>
    <mergeCell ref="B3:F3"/>
    <mergeCell ref="B4:F4"/>
    <mergeCell ref="B5:F5"/>
    <mergeCell ref="A7:F7"/>
    <mergeCell ref="A17:F18"/>
    <mergeCell ref="A20:F21"/>
    <mergeCell ref="D13:F13"/>
    <mergeCell ref="D14:F14"/>
    <mergeCell ref="D15:F15"/>
    <mergeCell ref="D16:F16"/>
  </mergeCells>
  <pageMargins left="0.92" right="0.99" top="0.75" bottom="0.75" header="0.3" footer="0.3"/>
  <pageSetup paperSize="5" orientation="portrait" horizontalDpi="4294967293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Spinner 1">
              <controlPr defaultSize="0" autoPict="0">
                <anchor moveWithCells="1" sizeWithCells="1">
                  <from>
                    <xdr:col>8</xdr:col>
                    <xdr:colOff>19050</xdr:colOff>
                    <xdr:row>5</xdr:row>
                    <xdr:rowOff>12700</xdr:rowOff>
                  </from>
                  <to>
                    <xdr:col>8</xdr:col>
                    <xdr:colOff>558800</xdr:colOff>
                    <xdr:row>7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DATA</vt:lpstr>
      <vt:lpstr>1</vt:lpstr>
      <vt:lpstr>2</vt:lpstr>
      <vt:lpstr>ST</vt:lpstr>
      <vt:lpstr>'1'!Print_Area</vt:lpstr>
      <vt:lpstr>'2'!Print_Area</vt:lpstr>
      <vt:lpstr>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gilbert londong</cp:lastModifiedBy>
  <cp:lastPrinted>2025-09-12T04:48:37Z</cp:lastPrinted>
  <dcterms:created xsi:type="dcterms:W3CDTF">2023-09-11T22:01:35Z</dcterms:created>
  <dcterms:modified xsi:type="dcterms:W3CDTF">2025-09-17T04:44:22Z</dcterms:modified>
</cp:coreProperties>
</file>